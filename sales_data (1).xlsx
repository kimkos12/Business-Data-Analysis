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hant\Downloads\"/>
    </mc:Choice>
  </mc:AlternateContent>
  <xr:revisionPtr revIDLastSave="0" documentId="13_ncr:1_{2FB5BF63-F3EF-4B88-BB86-7EF181762BC6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ales Data" sheetId="1" r:id="rId1"/>
    <sheet name="Dashboard " sheetId="4" r:id="rId2"/>
  </sheets>
  <definedNames>
    <definedName name="_xlnm._FilterDatabase" localSheetId="0" hidden="1">'Sales Data'!$A$1:$J$101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" i="4" l="1"/>
  <c r="B28" i="4"/>
  <c r="A8" i="4"/>
  <c r="L18" i="1"/>
  <c r="L38" i="1"/>
  <c r="L46" i="1"/>
  <c r="K18" i="1"/>
  <c r="K38" i="1"/>
  <c r="K46" i="1"/>
  <c r="F2" i="1"/>
  <c r="G98" i="1"/>
  <c r="F98" i="1"/>
  <c r="G4" i="1"/>
  <c r="F4" i="1"/>
  <c r="B30" i="4" s="1"/>
  <c r="G72" i="1"/>
  <c r="F72" i="1"/>
  <c r="I72" i="1" s="1"/>
  <c r="J72" i="1" s="1"/>
  <c r="L72" i="1" s="1"/>
  <c r="G26" i="1"/>
  <c r="F26" i="1"/>
  <c r="G38" i="1"/>
  <c r="F38" i="1"/>
  <c r="I38" i="1" s="1"/>
  <c r="J38" i="1" s="1"/>
  <c r="G73" i="1"/>
  <c r="F73" i="1"/>
  <c r="G99" i="1"/>
  <c r="F99" i="1"/>
  <c r="G87" i="1"/>
  <c r="F87" i="1"/>
  <c r="G95" i="1"/>
  <c r="F95" i="1"/>
  <c r="G16" i="1"/>
  <c r="F16" i="1"/>
  <c r="G21" i="1"/>
  <c r="F21" i="1"/>
  <c r="G86" i="1"/>
  <c r="F86" i="1"/>
  <c r="G43" i="1"/>
  <c r="F43" i="1"/>
  <c r="G44" i="1"/>
  <c r="F44" i="1"/>
  <c r="G13" i="1"/>
  <c r="F13" i="1"/>
  <c r="I13" i="1" s="1"/>
  <c r="J13" i="1" s="1"/>
  <c r="G22" i="1"/>
  <c r="F22" i="1"/>
  <c r="G75" i="1"/>
  <c r="F75" i="1"/>
  <c r="G23" i="1"/>
  <c r="F23" i="1"/>
  <c r="G65" i="1"/>
  <c r="F65" i="1"/>
  <c r="I65" i="1" s="1"/>
  <c r="J65" i="1" s="1"/>
  <c r="L65" i="1" s="1"/>
  <c r="G6" i="1"/>
  <c r="F6" i="1"/>
  <c r="G96" i="1"/>
  <c r="F96" i="1"/>
  <c r="I96" i="1" s="1"/>
  <c r="J96" i="1" s="1"/>
  <c r="L96" i="1" s="1"/>
  <c r="G53" i="1"/>
  <c r="F53" i="1"/>
  <c r="G46" i="1"/>
  <c r="F46" i="1"/>
  <c r="I46" i="1" s="1"/>
  <c r="J46" i="1" s="1"/>
  <c r="G8" i="1"/>
  <c r="F8" i="1"/>
  <c r="G76" i="1"/>
  <c r="F76" i="1"/>
  <c r="G68" i="1"/>
  <c r="F68" i="1"/>
  <c r="G101" i="1"/>
  <c r="F101" i="1"/>
  <c r="I101" i="1" s="1"/>
  <c r="J101" i="1" s="1"/>
  <c r="L101" i="1" s="1"/>
  <c r="G9" i="1"/>
  <c r="F9" i="1"/>
  <c r="G55" i="1"/>
  <c r="F55" i="1"/>
  <c r="I55" i="1" s="1"/>
  <c r="J55" i="1" s="1"/>
  <c r="L55" i="1" s="1"/>
  <c r="G80" i="1"/>
  <c r="F80" i="1"/>
  <c r="G89" i="1"/>
  <c r="F89" i="1"/>
  <c r="I89" i="1" s="1"/>
  <c r="J89" i="1" s="1"/>
  <c r="L89" i="1" s="1"/>
  <c r="G52" i="1"/>
  <c r="F52" i="1"/>
  <c r="G18" i="1"/>
  <c r="F18" i="1"/>
  <c r="I18" i="1" s="1"/>
  <c r="J18" i="1" s="1"/>
  <c r="G29" i="1"/>
  <c r="F29" i="1"/>
  <c r="G51" i="1"/>
  <c r="F51" i="1"/>
  <c r="I51" i="1" s="1"/>
  <c r="J51" i="1" s="1"/>
  <c r="L51" i="1" s="1"/>
  <c r="G63" i="1"/>
  <c r="F63" i="1"/>
  <c r="G45" i="1"/>
  <c r="F45" i="1"/>
  <c r="G77" i="1"/>
  <c r="F77" i="1"/>
  <c r="G69" i="1"/>
  <c r="F69" i="1"/>
  <c r="G50" i="1"/>
  <c r="F50" i="1"/>
  <c r="G25" i="1"/>
  <c r="F25" i="1"/>
  <c r="I25" i="1" s="1"/>
  <c r="J25" i="1" s="1"/>
  <c r="L25" i="1" s="1"/>
  <c r="G100" i="1"/>
  <c r="F100" i="1"/>
  <c r="G27" i="1"/>
  <c r="F27" i="1"/>
  <c r="I27" i="1" s="1"/>
  <c r="J27" i="1" s="1"/>
  <c r="L27" i="1" s="1"/>
  <c r="G42" i="1"/>
  <c r="F42" i="1"/>
  <c r="G81" i="1"/>
  <c r="F81" i="1"/>
  <c r="I81" i="1" s="1"/>
  <c r="J81" i="1" s="1"/>
  <c r="L81" i="1" s="1"/>
  <c r="G36" i="1"/>
  <c r="F36" i="1"/>
  <c r="G17" i="1"/>
  <c r="F17" i="1"/>
  <c r="I17" i="1" s="1"/>
  <c r="J17" i="1" s="1"/>
  <c r="G37" i="1"/>
  <c r="F37" i="1"/>
  <c r="G93" i="1"/>
  <c r="F93" i="1"/>
  <c r="I93" i="1" s="1"/>
  <c r="J93" i="1" s="1"/>
  <c r="L93" i="1" s="1"/>
  <c r="G92" i="1"/>
  <c r="F92" i="1"/>
  <c r="G91" i="1"/>
  <c r="F91" i="1"/>
  <c r="I91" i="1" s="1"/>
  <c r="J91" i="1" s="1"/>
  <c r="L91" i="1" s="1"/>
  <c r="G88" i="1"/>
  <c r="F88" i="1"/>
  <c r="G2" i="1"/>
  <c r="A6" i="4" s="1"/>
  <c r="G32" i="1"/>
  <c r="F32" i="1"/>
  <c r="G90" i="1"/>
  <c r="F90" i="1"/>
  <c r="G79" i="1"/>
  <c r="F79" i="1"/>
  <c r="I79" i="1" s="1"/>
  <c r="G47" i="1"/>
  <c r="F47" i="1"/>
  <c r="G5" i="1"/>
  <c r="F5" i="1"/>
  <c r="G7" i="1"/>
  <c r="F7" i="1"/>
  <c r="G57" i="1"/>
  <c r="F57" i="1"/>
  <c r="I57" i="1" s="1"/>
  <c r="G74" i="1"/>
  <c r="F74" i="1"/>
  <c r="G28" i="1"/>
  <c r="F28" i="1"/>
  <c r="G24" i="1"/>
  <c r="F24" i="1"/>
  <c r="G48" i="1"/>
  <c r="F48" i="1"/>
  <c r="G31" i="1"/>
  <c r="F31" i="1"/>
  <c r="G12" i="1"/>
  <c r="F12" i="1"/>
  <c r="G94" i="1"/>
  <c r="F94" i="1"/>
  <c r="G33" i="1"/>
  <c r="F33" i="1"/>
  <c r="I33" i="1" s="1"/>
  <c r="G19" i="1"/>
  <c r="F19" i="1"/>
  <c r="G82" i="1"/>
  <c r="F82" i="1"/>
  <c r="G34" i="1"/>
  <c r="F34" i="1"/>
  <c r="G11" i="1"/>
  <c r="F11" i="1"/>
  <c r="G40" i="1"/>
  <c r="F40" i="1"/>
  <c r="G66" i="1"/>
  <c r="F66" i="1"/>
  <c r="G14" i="1"/>
  <c r="F14" i="1"/>
  <c r="G83" i="1"/>
  <c r="F83" i="1"/>
  <c r="G54" i="1"/>
  <c r="F54" i="1"/>
  <c r="G56" i="1"/>
  <c r="F56" i="1"/>
  <c r="G84" i="1"/>
  <c r="F84" i="1"/>
  <c r="G10" i="1"/>
  <c r="F10" i="1"/>
  <c r="G41" i="1"/>
  <c r="F41" i="1"/>
  <c r="G67" i="1"/>
  <c r="F67" i="1"/>
  <c r="G62" i="1"/>
  <c r="F62" i="1"/>
  <c r="G78" i="1"/>
  <c r="F78" i="1"/>
  <c r="G20" i="1"/>
  <c r="F20" i="1"/>
  <c r="G39" i="1"/>
  <c r="F39" i="1"/>
  <c r="G60" i="1"/>
  <c r="F60" i="1"/>
  <c r="G71" i="1"/>
  <c r="F71" i="1"/>
  <c r="G15" i="1"/>
  <c r="F15" i="1"/>
  <c r="B21" i="4" s="1"/>
  <c r="G85" i="1"/>
  <c r="F85" i="1"/>
  <c r="G64" i="1"/>
  <c r="F64" i="1"/>
  <c r="G59" i="1"/>
  <c r="F59" i="1"/>
  <c r="G70" i="1"/>
  <c r="F70" i="1"/>
  <c r="G61" i="1"/>
  <c r="F61" i="1"/>
  <c r="G30" i="1"/>
  <c r="F30" i="1"/>
  <c r="G49" i="1"/>
  <c r="F49" i="1"/>
  <c r="G35" i="1"/>
  <c r="F35" i="1"/>
  <c r="G58" i="1"/>
  <c r="F58" i="1"/>
  <c r="G97" i="1"/>
  <c r="F97" i="1"/>
  <c r="G3" i="1"/>
  <c r="F3" i="1"/>
  <c r="B19" i="4" l="1"/>
  <c r="A5" i="4"/>
  <c r="B20" i="4"/>
  <c r="B22" i="4"/>
  <c r="I11" i="1"/>
  <c r="B23" i="4"/>
  <c r="J33" i="1"/>
  <c r="L33" i="1" s="1"/>
  <c r="K33" i="1"/>
  <c r="J57" i="1"/>
  <c r="L57" i="1" s="1"/>
  <c r="K57" i="1"/>
  <c r="B24" i="4"/>
  <c r="J79" i="1"/>
  <c r="L79" i="1" s="1"/>
  <c r="K79" i="1"/>
  <c r="K101" i="1"/>
  <c r="K93" i="1"/>
  <c r="K89" i="1"/>
  <c r="K81" i="1"/>
  <c r="K65" i="1"/>
  <c r="K25" i="1"/>
  <c r="K17" i="1"/>
  <c r="K13" i="1"/>
  <c r="L17" i="1"/>
  <c r="L13" i="1"/>
  <c r="B27" i="4"/>
  <c r="K96" i="1"/>
  <c r="K72" i="1"/>
  <c r="B26" i="4"/>
  <c r="I88" i="1"/>
  <c r="I42" i="1"/>
  <c r="I6" i="1"/>
  <c r="I23" i="1"/>
  <c r="I22" i="1"/>
  <c r="I44" i="1"/>
  <c r="I86" i="1"/>
  <c r="I16" i="1"/>
  <c r="I87" i="1"/>
  <c r="I73" i="1"/>
  <c r="I26" i="1"/>
  <c r="I4" i="1"/>
  <c r="K91" i="1"/>
  <c r="K55" i="1"/>
  <c r="K51" i="1"/>
  <c r="K27" i="1"/>
  <c r="B29" i="4"/>
  <c r="B25" i="4"/>
  <c r="I97" i="1"/>
  <c r="I35" i="1"/>
  <c r="I30" i="1"/>
  <c r="I70" i="1"/>
  <c r="I64" i="1"/>
  <c r="I15" i="1"/>
  <c r="I60" i="1"/>
  <c r="I20" i="1"/>
  <c r="I62" i="1"/>
  <c r="I41" i="1"/>
  <c r="I84" i="1"/>
  <c r="I54" i="1"/>
  <c r="I14" i="1"/>
  <c r="I40" i="1"/>
  <c r="I58" i="1"/>
  <c r="I49" i="1"/>
  <c r="I61" i="1"/>
  <c r="I59" i="1"/>
  <c r="I85" i="1"/>
  <c r="I71" i="1"/>
  <c r="I39" i="1"/>
  <c r="I78" i="1"/>
  <c r="I83" i="1"/>
  <c r="I94" i="1"/>
  <c r="I31" i="1"/>
  <c r="I24" i="1"/>
  <c r="I74" i="1"/>
  <c r="I7" i="1"/>
  <c r="I47" i="1"/>
  <c r="I50" i="1"/>
  <c r="I63" i="1"/>
  <c r="I9" i="1"/>
  <c r="I68" i="1"/>
  <c r="I8" i="1"/>
  <c r="I53" i="1"/>
  <c r="I43" i="1"/>
  <c r="I21" i="1"/>
  <c r="I99" i="1"/>
  <c r="I10" i="1"/>
  <c r="I34" i="1"/>
  <c r="I19" i="1"/>
  <c r="I48" i="1"/>
  <c r="I90" i="1"/>
  <c r="I2" i="1"/>
  <c r="I37" i="1"/>
  <c r="I69" i="1"/>
  <c r="I45" i="1"/>
  <c r="I52" i="1"/>
  <c r="I76" i="1"/>
  <c r="I75" i="1"/>
  <c r="I95" i="1"/>
  <c r="I98" i="1"/>
  <c r="I3" i="1"/>
  <c r="K3" i="1" s="1"/>
  <c r="I67" i="1"/>
  <c r="I56" i="1"/>
  <c r="I66" i="1"/>
  <c r="I82" i="1"/>
  <c r="I12" i="1"/>
  <c r="I28" i="1"/>
  <c r="I5" i="1"/>
  <c r="I32" i="1"/>
  <c r="I92" i="1"/>
  <c r="I36" i="1"/>
  <c r="I100" i="1"/>
  <c r="I77" i="1"/>
  <c r="I29" i="1"/>
  <c r="I80" i="1"/>
  <c r="J73" i="1" l="1"/>
  <c r="L73" i="1" s="1"/>
  <c r="K73" i="1"/>
  <c r="J44" i="1"/>
  <c r="L44" i="1" s="1"/>
  <c r="K44" i="1"/>
  <c r="J42" i="1"/>
  <c r="L42" i="1" s="1"/>
  <c r="K42" i="1"/>
  <c r="J100" i="1"/>
  <c r="L100" i="1" s="1"/>
  <c r="K100" i="1"/>
  <c r="J5" i="1"/>
  <c r="K5" i="1"/>
  <c r="J66" i="1"/>
  <c r="L66" i="1" s="1"/>
  <c r="K66" i="1"/>
  <c r="J98" i="1"/>
  <c r="L98" i="1" s="1"/>
  <c r="K98" i="1"/>
  <c r="J52" i="1"/>
  <c r="L52" i="1" s="1"/>
  <c r="K52" i="1"/>
  <c r="J2" i="1"/>
  <c r="A10" i="4"/>
  <c r="K2" i="1"/>
  <c r="J34" i="1"/>
  <c r="L34" i="1" s="1"/>
  <c r="K34" i="1"/>
  <c r="J43" i="1"/>
  <c r="L43" i="1" s="1"/>
  <c r="K43" i="1"/>
  <c r="J9" i="1"/>
  <c r="L9" i="1" s="1"/>
  <c r="K9" i="1"/>
  <c r="J7" i="1"/>
  <c r="L7" i="1" s="1"/>
  <c r="K7" i="1"/>
  <c r="J94" i="1"/>
  <c r="L94" i="1" s="1"/>
  <c r="K94" i="1"/>
  <c r="J71" i="1"/>
  <c r="L71" i="1" s="1"/>
  <c r="K71" i="1"/>
  <c r="J49" i="1"/>
  <c r="L49" i="1" s="1"/>
  <c r="K49" i="1"/>
  <c r="J54" i="1"/>
  <c r="L54" i="1" s="1"/>
  <c r="K54" i="1"/>
  <c r="J20" i="1"/>
  <c r="L20" i="1" s="1"/>
  <c r="K20" i="1"/>
  <c r="J70" i="1"/>
  <c r="L70" i="1" s="1"/>
  <c r="K70" i="1"/>
  <c r="J80" i="1"/>
  <c r="L80" i="1" s="1"/>
  <c r="K80" i="1"/>
  <c r="J36" i="1"/>
  <c r="K36" i="1"/>
  <c r="J28" i="1"/>
  <c r="L28" i="1" s="1"/>
  <c r="K28" i="1"/>
  <c r="J56" i="1"/>
  <c r="L56" i="1" s="1"/>
  <c r="K56" i="1"/>
  <c r="J95" i="1"/>
  <c r="L95" i="1" s="1"/>
  <c r="K95" i="1"/>
  <c r="J45" i="1"/>
  <c r="L45" i="1" s="1"/>
  <c r="K45" i="1"/>
  <c r="J90" i="1"/>
  <c r="L90" i="1" s="1"/>
  <c r="K90" i="1"/>
  <c r="J10" i="1"/>
  <c r="K10" i="1"/>
  <c r="J53" i="1"/>
  <c r="L53" i="1" s="1"/>
  <c r="K53" i="1"/>
  <c r="J63" i="1"/>
  <c r="L63" i="1" s="1"/>
  <c r="K63" i="1"/>
  <c r="J74" i="1"/>
  <c r="L74" i="1" s="1"/>
  <c r="K74" i="1"/>
  <c r="J83" i="1"/>
  <c r="L83" i="1" s="1"/>
  <c r="K83" i="1"/>
  <c r="J85" i="1"/>
  <c r="L85" i="1" s="1"/>
  <c r="K85" i="1"/>
  <c r="J58" i="1"/>
  <c r="L58" i="1" s="1"/>
  <c r="K58" i="1"/>
  <c r="J84" i="1"/>
  <c r="L84" i="1" s="1"/>
  <c r="K84" i="1"/>
  <c r="J60" i="1"/>
  <c r="L60" i="1" s="1"/>
  <c r="K60" i="1"/>
  <c r="J30" i="1"/>
  <c r="K30" i="1"/>
  <c r="J87" i="1"/>
  <c r="L87" i="1" s="1"/>
  <c r="K87" i="1"/>
  <c r="J22" i="1"/>
  <c r="L22" i="1" s="1"/>
  <c r="K22" i="1"/>
  <c r="J88" i="1"/>
  <c r="L88" i="1" s="1"/>
  <c r="K88" i="1"/>
  <c r="J29" i="1"/>
  <c r="K29" i="1"/>
  <c r="J92" i="1"/>
  <c r="L92" i="1" s="1"/>
  <c r="K92" i="1"/>
  <c r="J12" i="1"/>
  <c r="L12" i="1" s="1"/>
  <c r="K12" i="1"/>
  <c r="J67" i="1"/>
  <c r="L67" i="1" s="1"/>
  <c r="K67" i="1"/>
  <c r="J75" i="1"/>
  <c r="L75" i="1" s="1"/>
  <c r="K75" i="1"/>
  <c r="J69" i="1"/>
  <c r="L69" i="1" s="1"/>
  <c r="K69" i="1"/>
  <c r="J48" i="1"/>
  <c r="L48" i="1" s="1"/>
  <c r="K48" i="1"/>
  <c r="J99" i="1"/>
  <c r="L99" i="1" s="1"/>
  <c r="K99" i="1"/>
  <c r="J8" i="1"/>
  <c r="L8" i="1" s="1"/>
  <c r="K8" i="1"/>
  <c r="J50" i="1"/>
  <c r="L50" i="1" s="1"/>
  <c r="K50" i="1"/>
  <c r="J24" i="1"/>
  <c r="L24" i="1" s="1"/>
  <c r="K24" i="1"/>
  <c r="J78" i="1"/>
  <c r="L78" i="1" s="1"/>
  <c r="K78" i="1"/>
  <c r="J59" i="1"/>
  <c r="L59" i="1" s="1"/>
  <c r="K59" i="1"/>
  <c r="J40" i="1"/>
  <c r="L40" i="1" s="1"/>
  <c r="K40" i="1"/>
  <c r="J41" i="1"/>
  <c r="L41" i="1" s="1"/>
  <c r="K41" i="1"/>
  <c r="J15" i="1"/>
  <c r="K15" i="1"/>
  <c r="J35" i="1"/>
  <c r="L35" i="1" s="1"/>
  <c r="K35" i="1"/>
  <c r="J4" i="1"/>
  <c r="K4" i="1"/>
  <c r="J16" i="1"/>
  <c r="L16" i="1" s="1"/>
  <c r="K16" i="1"/>
  <c r="J23" i="1"/>
  <c r="L23" i="1" s="1"/>
  <c r="K23" i="1"/>
  <c r="J77" i="1"/>
  <c r="L77" i="1" s="1"/>
  <c r="K77" i="1"/>
  <c r="J32" i="1"/>
  <c r="L32" i="1" s="1"/>
  <c r="K32" i="1"/>
  <c r="J82" i="1"/>
  <c r="L82" i="1" s="1"/>
  <c r="K82" i="1"/>
  <c r="J76" i="1"/>
  <c r="L76" i="1" s="1"/>
  <c r="K76" i="1"/>
  <c r="J37" i="1"/>
  <c r="L37" i="1" s="1"/>
  <c r="K37" i="1"/>
  <c r="J19" i="1"/>
  <c r="L19" i="1" s="1"/>
  <c r="K19" i="1"/>
  <c r="J21" i="1"/>
  <c r="K21" i="1"/>
  <c r="J68" i="1"/>
  <c r="L68" i="1" s="1"/>
  <c r="K68" i="1"/>
  <c r="J47" i="1"/>
  <c r="L47" i="1" s="1"/>
  <c r="K47" i="1"/>
  <c r="J31" i="1"/>
  <c r="L31" i="1" s="1"/>
  <c r="K31" i="1"/>
  <c r="J39" i="1"/>
  <c r="L39" i="1" s="1"/>
  <c r="K39" i="1"/>
  <c r="J61" i="1"/>
  <c r="L61" i="1" s="1"/>
  <c r="K61" i="1"/>
  <c r="J14" i="1"/>
  <c r="L14" i="1" s="1"/>
  <c r="K14" i="1"/>
  <c r="J62" i="1"/>
  <c r="L62" i="1" s="1"/>
  <c r="K62" i="1"/>
  <c r="J64" i="1"/>
  <c r="L64" i="1" s="1"/>
  <c r="K64" i="1"/>
  <c r="J97" i="1"/>
  <c r="L97" i="1" s="1"/>
  <c r="K97" i="1"/>
  <c r="J26" i="1"/>
  <c r="L26" i="1" s="1"/>
  <c r="K26" i="1"/>
  <c r="J86" i="1"/>
  <c r="L86" i="1" s="1"/>
  <c r="K86" i="1"/>
  <c r="J6" i="1"/>
  <c r="K6" i="1"/>
  <c r="J11" i="1"/>
  <c r="K11" i="1"/>
  <c r="J3" i="1"/>
  <c r="C22" i="4" l="1"/>
  <c r="L10" i="1"/>
  <c r="L36" i="1"/>
  <c r="C26" i="4"/>
  <c r="L3" i="1"/>
  <c r="C19" i="4"/>
  <c r="C28" i="4"/>
  <c r="L6" i="1"/>
  <c r="L21" i="1"/>
  <c r="C29" i="4"/>
  <c r="L29" i="1"/>
  <c r="C27" i="4"/>
  <c r="C20" i="4"/>
  <c r="L30" i="1"/>
  <c r="L11" i="1"/>
  <c r="C23" i="4"/>
  <c r="C30" i="4"/>
  <c r="L4" i="1"/>
  <c r="C21" i="4"/>
  <c r="L15" i="1"/>
  <c r="C25" i="4"/>
  <c r="A12" i="4"/>
  <c r="A14" i="4"/>
  <c r="L2" i="1"/>
  <c r="C24" i="4"/>
  <c r="L5" i="1"/>
</calcChain>
</file>

<file path=xl/sharedStrings.xml><?xml version="1.0" encoding="utf-8"?>
<sst xmlns="http://schemas.openxmlformats.org/spreadsheetml/2006/main" count="362" uniqueCount="62">
  <si>
    <t>Date</t>
  </si>
  <si>
    <t>Month</t>
  </si>
  <si>
    <t>Region</t>
  </si>
  <si>
    <t>Product</t>
  </si>
  <si>
    <t>Units Sold</t>
  </si>
  <si>
    <t>Revenue</t>
  </si>
  <si>
    <t>Cost of Goods Sold</t>
  </si>
  <si>
    <t>Operating Expenses</t>
  </si>
  <si>
    <t>Gross Profit</t>
  </si>
  <si>
    <t>Net Profit</t>
  </si>
  <si>
    <t>January</t>
  </si>
  <si>
    <t>North America</t>
  </si>
  <si>
    <t>Widget Lite</t>
  </si>
  <si>
    <t>Asia Pacific</t>
  </si>
  <si>
    <t>EcoPack</t>
  </si>
  <si>
    <t>Middle East</t>
  </si>
  <si>
    <t>Gadget Y</t>
  </si>
  <si>
    <t>Africa</t>
  </si>
  <si>
    <t>February</t>
  </si>
  <si>
    <t>Widget Pro</t>
  </si>
  <si>
    <t>Europe</t>
  </si>
  <si>
    <t>Latin America</t>
  </si>
  <si>
    <t>SmartHub</t>
  </si>
  <si>
    <t>March</t>
  </si>
  <si>
    <t>Gadget X</t>
  </si>
  <si>
    <t>April</t>
  </si>
  <si>
    <t>SmartHub Mini</t>
  </si>
  <si>
    <t>EcoPack Plus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</si>
  <si>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</si>
  <si>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</si>
  <si>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</si>
  <si>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</si>
  <si>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</si>
  <si>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</si>
  <si>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</si>
  <si>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</si>
  <si>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Gross Margin </t>
  </si>
  <si>
    <t xml:space="preserve">Net Profit Margin </t>
  </si>
  <si>
    <t xml:space="preserve">Finacial Performance Dashboard </t>
  </si>
  <si>
    <t xml:space="preserve">Total Revenue </t>
  </si>
  <si>
    <t xml:space="preserve">Month </t>
  </si>
  <si>
    <t xml:space="preserve">Revenue </t>
  </si>
  <si>
    <t xml:space="preserve">Net Profit </t>
  </si>
  <si>
    <t xml:space="preserve">Asia Pacific </t>
  </si>
  <si>
    <t xml:space="preserve">Europe </t>
  </si>
  <si>
    <t xml:space="preserve">Latin America </t>
  </si>
  <si>
    <t xml:space="preserve">Middle East </t>
  </si>
  <si>
    <t xml:space="preserve">North America </t>
  </si>
  <si>
    <t xml:space="preserve">Product </t>
  </si>
  <si>
    <t xml:space="preserve">Widget Lite </t>
  </si>
  <si>
    <t>Smart hub</t>
  </si>
  <si>
    <t xml:space="preserve">Widget Pro </t>
  </si>
  <si>
    <t xml:space="preserve">Gadget X </t>
  </si>
  <si>
    <t>Gadet Y</t>
  </si>
  <si>
    <t>Eco Pack</t>
  </si>
  <si>
    <t xml:space="preserve">Smart Mini Hub </t>
  </si>
  <si>
    <t xml:space="preserve">Eco Pack Plus </t>
  </si>
  <si>
    <t>Key Insights</t>
  </si>
  <si>
    <t>Asia Pacific generated the highest revenue and net profit.</t>
  </si>
  <si>
    <t>Widget Lite recorded the highest revenue and net profit.</t>
  </si>
  <si>
    <t>May was the strongest month by revenue and net profit.</t>
  </si>
  <si>
    <t>Overall net profit margin was 44.18%.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</si>
</sst>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_-[$Ksh-441]* #,##0.00_-;\-[$Ksh-441]* #,##0.00_-;_-[$Ksh-441]* &quot;-&quot;??_-;_-@_-"/>
  </numFmts>
  <fonts count="7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3" fillId="0" borderId="0" xfId="0" applyNumberFormat="1" applyFont="1"/>
    <xf numFmtId="0" fontId="3" fillId="0" borderId="0" xfId="0" applyFont="1"/>
    <xf numFmtId="165" fontId="2" fillId="2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5" fontId="0" fillId="0" borderId="0" xfId="0" applyNumberFormat="1"/>
    <xf numFmtId="43" fontId="2" fillId="2" borderId="0" xfId="1" applyFont="1" applyFill="1" applyAlignment="1">
      <alignment horizontal="center" vertical="center"/>
    </xf>
    <xf numFmtId="43" fontId="3" fillId="0" borderId="0" xfId="1" applyFont="1"/>
    <xf numFmtId="43" fontId="1" fillId="0" borderId="0" xfId="1" applyFont="1"/>
    <xf numFmtId="43" fontId="0" fillId="0" borderId="0" xfId="1" applyFont="1"/>
    <xf numFmtId="9" fontId="2" fillId="2" borderId="0" xfId="2" applyFont="1" applyFill="1" applyAlignment="1">
      <alignment horizontal="center" vertical="center"/>
    </xf>
    <xf numFmtId="9" fontId="0" fillId="0" borderId="0" xfId="2" applyFont="1"/>
    <xf numFmtId="43" fontId="0" fillId="0" borderId="0" xfId="0" applyNumberFormat="1"/>
    <xf numFmtId="0" fontId="5" fillId="0" borderId="0" xfId="0" applyFont="1"/>
    <xf numFmtId="43" fontId="5" fillId="0" borderId="0" xfId="1" applyFont="1"/>
    <xf numFmtId="0" fontId="6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_-[$Ksh-441]* #,##0.00_-;\-[$Ksh-441]* #,##0.00_-;_-[$Ksh-44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mm/d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  <a:r>
              <a:rPr lang="en-US" baseline="0"/>
              <a:t> &amp;  Net Profit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'!$B$18</c:f>
              <c:strCache>
                <c:ptCount val="1"/>
                <c:pt idx="0">
                  <c:v> Revenue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'!$A$19:$A$30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'Dashboard '!$B$19:$B$30</c:f>
              <c:numCache>
                <c:formatCode>_(* #,##0.00_);_(* \(#,##0.00\);_(* "-"??_);_(@_)</c:formatCode>
                <c:ptCount val="12"/>
                <c:pt idx="0">
                  <c:v>124436.23000000001</c:v>
                </c:pt>
                <c:pt idx="1">
                  <c:v>84497.08</c:v>
                </c:pt>
                <c:pt idx="2">
                  <c:v>148521.14000000001</c:v>
                </c:pt>
                <c:pt idx="3">
                  <c:v>109918.19</c:v>
                </c:pt>
                <c:pt idx="4">
                  <c:v>307996.41000000003</c:v>
                </c:pt>
                <c:pt idx="5">
                  <c:v>248996.57999999996</c:v>
                </c:pt>
                <c:pt idx="6">
                  <c:v>130268.56000000001</c:v>
                </c:pt>
                <c:pt idx="7">
                  <c:v>188067.35</c:v>
                </c:pt>
                <c:pt idx="8">
                  <c:v>181732.99</c:v>
                </c:pt>
                <c:pt idx="9">
                  <c:v>247264.36999999994</c:v>
                </c:pt>
                <c:pt idx="10">
                  <c:v>219570.26999999996</c:v>
                </c:pt>
                <c:pt idx="11">
                  <c:v>193119.25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9-4B18-9C25-C3FAEE5886E3}"/>
            </c:ext>
          </c:extLst>
        </c:ser>
        <c:ser>
          <c:idx val="1"/>
          <c:order val="1"/>
          <c:tx>
            <c:strRef>
              <c:f>'Dashboard '!$C$18</c:f>
              <c:strCache>
                <c:ptCount val="1"/>
                <c:pt idx="0">
                  <c:v> Net Profit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'!$A$19:$A$30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'Dashboard '!$C$19:$C$30</c:f>
              <c:numCache>
                <c:formatCode>_(* #,##0.00_);_(* \(#,##0.00\);_(* "-"??_);_(@_)</c:formatCode>
                <c:ptCount val="12"/>
                <c:pt idx="0">
                  <c:v>51740.079999999994</c:v>
                </c:pt>
                <c:pt idx="1">
                  <c:v>31098.210000000006</c:v>
                </c:pt>
                <c:pt idx="2">
                  <c:v>66543.930000000008</c:v>
                </c:pt>
                <c:pt idx="3">
                  <c:v>46225.86</c:v>
                </c:pt>
                <c:pt idx="4">
                  <c:v>146593.65999999997</c:v>
                </c:pt>
                <c:pt idx="5">
                  <c:v>120961.7</c:v>
                </c:pt>
                <c:pt idx="6">
                  <c:v>51226.87</c:v>
                </c:pt>
                <c:pt idx="7">
                  <c:v>75474.13</c:v>
                </c:pt>
                <c:pt idx="8">
                  <c:v>67256.960000000021</c:v>
                </c:pt>
                <c:pt idx="9">
                  <c:v>113383.8</c:v>
                </c:pt>
                <c:pt idx="10">
                  <c:v>105989.81999999999</c:v>
                </c:pt>
                <c:pt idx="11">
                  <c:v>88477.299999999988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9-4B18-9C25-C3FAEE58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925215"/>
        <c:axId val="631927295"/>
      </c:lineChart>
      <c:catAx>
        <c:axId val="6319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27295"/>
        <c:crosses val="autoZero"/>
        <c:auto val="1"/>
        <c:lblAlgn val="ctr"/>
        <c:lblOffset val="100"/>
        <c:noMultiLvlLbl val="0"/>
      </c:catAx>
      <c:valAx>
        <c:axId val="63192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2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'!$F$18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'!$E$19:$E$24</c:f>
              <c:strCache>
                <c:ptCount val="6"/>
                <c:pt idx="0">
                  <c:v>Africa</c:v>
                </c:pt>
                <c:pt idx="1">
                  <c:v>Asia Pacific </c:v>
                </c:pt>
                <c:pt idx="2">
                  <c:v>Europe </c:v>
                </c:pt>
                <c:pt idx="3">
                  <c:v>Latin America </c:v>
                </c:pt>
                <c:pt idx="4">
                  <c:v>Middle East </c:v>
                </c:pt>
                <c:pt idx="5">
                  <c:v>North America </c:v>
                </c:pt>
              </c:strCache>
            </c:strRef>
          </c:cat>
          <c:val>
            <c:numRef>
              <c:f>'Dashboard '!$F$19:$F$24</c:f>
              <c:numCache>
                <c:formatCode>_(* #,##0.00_);_(* \(#,##0.00\);_(* "-"??_);_(@_)</c:formatCode>
                <c:ptCount val="6"/>
                <c:pt idx="0">
                  <c:v>395300.14999999997</c:v>
                </c:pt>
                <c:pt idx="1">
                  <c:v>472302.13</c:v>
                </c:pt>
                <c:pt idx="2">
                  <c:v>409844.25</c:v>
                </c:pt>
                <c:pt idx="3">
                  <c:v>347697.25</c:v>
                </c:pt>
                <c:pt idx="4">
                  <c:v>269832.76</c:v>
                </c:pt>
                <c:pt idx="5">
                  <c:v>289411.88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D-4497-B5B2-5073D8FC3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202943"/>
        <c:axId val="745204607"/>
      </c:barChart>
      <c:catAx>
        <c:axId val="74520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04607"/>
        <c:crosses val="autoZero"/>
        <c:auto val="1"/>
        <c:lblAlgn val="ctr"/>
        <c:lblOffset val="100"/>
        <c:noMultiLvlLbl val="0"/>
      </c:catAx>
      <c:valAx>
        <c:axId val="7452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20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'!$E$28:$E$35</c:f>
              <c:strCache>
                <c:ptCount val="8"/>
                <c:pt idx="0">
                  <c:v>Widget Lite </c:v>
                </c:pt>
                <c:pt idx="1">
                  <c:v>Smart hub</c:v>
                </c:pt>
                <c:pt idx="2">
                  <c:v>Widget Pro </c:v>
                </c:pt>
                <c:pt idx="3">
                  <c:v>Gadget X </c:v>
                </c:pt>
                <c:pt idx="4">
                  <c:v>Gadet Y</c:v>
                </c:pt>
                <c:pt idx="5">
                  <c:v>Eco Pack</c:v>
                </c:pt>
                <c:pt idx="6">
                  <c:v>Smart Mini Hub </c:v>
                </c:pt>
                <c:pt idx="7">
                  <c:v>Eco Pack Plus </c:v>
                </c:pt>
              </c:strCache>
            </c:strRef>
          </c:cat>
          <c:val>
            <c:numRef>
              <c:f>'Dashboard '!$F$28:$F$35</c:f>
              <c:numCache>
                <c:formatCode>_(* #,##0.00_);_(* \(#,##0.00\);_(* "-"??_);_(@_)</c:formatCode>
                <c:ptCount val="8"/>
                <c:pt idx="0">
                  <c:v>220980.9</c:v>
                </c:pt>
                <c:pt idx="1">
                  <c:v>136070.07999999999</c:v>
                </c:pt>
                <c:pt idx="2">
                  <c:v>138197.68</c:v>
                </c:pt>
                <c:pt idx="3">
                  <c:v>124303.09</c:v>
                </c:pt>
                <c:pt idx="4">
                  <c:v>91708.160000000003</c:v>
                </c:pt>
                <c:pt idx="5">
                  <c:v>80573.100000000006</c:v>
                </c:pt>
                <c:pt idx="6">
                  <c:v>85109.02</c:v>
                </c:pt>
                <c:pt idx="7">
                  <c:v>88030.29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9-415F-8591-EA2374EA0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148879"/>
        <c:axId val="1761149295"/>
      </c:barChart>
      <c:catAx>
        <c:axId val="17611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49295"/>
        <c:crosses val="autoZero"/>
        <c:auto val="1"/>
        <c:lblAlgn val="ctr"/>
        <c:lblOffset val="100"/>
        <c:noMultiLvlLbl val="0"/>
      </c:catAx>
      <c:valAx>
        <c:axId val="17611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4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Margin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'!$E$42:$E$49</c:f>
              <c:strCache>
                <c:ptCount val="5"/>
                <c:pt idx="0">
                  <c:v>Gadget X </c:v>
                </c:pt>
                <c:pt idx="1">
                  <c:v>Gadet Y</c:v>
                </c:pt>
                <c:pt idx="2">
                  <c:v>Eco Pack</c:v>
                </c:pt>
                <c:pt idx="3">
                  <c:v>Smart Mini Hub </c:v>
                </c:pt>
                <c:pt idx="4">
                  <c:v>Eco Pack Plus </c:v>
                </c:pt>
              </c:strCache>
            </c:strRef>
          </c:cat>
          <c:val>
            <c:numRef>
              <c:f>'Dashboard '!$F$42:$F$49</c:f>
              <c:numCache>
                <c:formatCode>0%</c:formatCode>
                <c:ptCount val="8"/>
                <c:pt idx="0">
                  <c:v>0.47489999999999999</c:v>
                </c:pt>
                <c:pt idx="1">
                  <c:v>0.38150000000000001</c:v>
                </c:pt>
                <c:pt idx="2">
                  <c:v>0.38540000000000002</c:v>
                </c:pt>
                <c:pt idx="3">
                  <c:v>0.441</c:v>
                </c:pt>
                <c:pt idx="4">
                  <c:v>0.46200000000000002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A-42A3-A9FD-2FEE4EB52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600511"/>
        <c:axId val="1643601759"/>
      </c:barChart>
      <c:catAx>
        <c:axId val="164360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01759"/>
        <c:crosses val="autoZero"/>
        <c:auto val="1"/>
        <c:lblAlgn val="ctr"/>
        <c:lblOffset val="100"/>
        <c:noMultiLvlLbl val="0"/>
      </c:catAx>
      <c:valAx>
        <c:axId val="164360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0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450850</xdr:colOff>
      <xdr:row>40</xdr:row>
      <xdr:rowOff>47625</xdr:rowOff>
    </xdr:from>
    <xdr:to>
      <xdr:col>12</xdr:col>
      <xdr:colOff>603250</xdr:colOff>
      <xdr:row>55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44062-56D9-4109-B331-1E7E21B43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644525</xdr:colOff>
      <xdr:row>57</xdr:row>
      <xdr:rowOff>123825</xdr:rowOff>
    </xdr:from>
    <xdr:to>
      <xdr:col>11</xdr:col>
      <xdr:colOff>454025</xdr:colOff>
      <xdr:row>72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0FD2BE-7B88-46B6-960B-6203C7CCC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34925</xdr:rowOff>
    </xdr:from>
    <xdr:to>
      <xdr:col>4</xdr:col>
      <xdr:colOff>412750</xdr:colOff>
      <xdr:row>50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1C8781-49E1-4A1A-B89A-8BC4ECFBB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73025</xdr:rowOff>
    </xdr:from>
    <xdr:to>
      <xdr:col>4</xdr:col>
      <xdr:colOff>412750</xdr:colOff>
      <xdr:row>66</xdr:row>
      <xdr:rowOff>53975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73AD4A-14EF-407C-9631-79FAABAEE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FC1AB-7ABD-436E-9056-FFD3D371E721}" name="FinancialData" displayName="FinancialData" ref="A1:L101" totalsRowShown="0" headerRowDxfId="12" headerRowCellStyle="Percent">
  <autoFilter ref="A1:L101" xr:uid="{13DFC1AB-7ABD-436E-9056-FFD3D371E721}">
    <filterColumn colId="2">
      <filters>
        <filter val="Africa"/>
      </filters>
    </filterColumn>
  </autoFilter>
  <tableColumns count="12">
    <tableColumn id="1" xr3:uid="{CDB188A0-2BC1-402B-89AD-DEF075E5F428}" name="Date" dataDxfId="11"/>
    <tableColumn id="2" xr3:uid="{70E7F1D7-7E93-4F9C-9187-E45DB0A6952F}" name="Month" dataDxfId="10"/>
    <tableColumn id="3" xr3:uid="{CE629C4F-7AAC-4069-8692-D5A1BD3386FC}" name="Region" dataDxfId="9"/>
    <tableColumn id="4" xr3:uid="{3E383C39-AA9A-459E-AEFD-D62944FFCD21}" name="Product" dataDxfId="8"/>
    <tableColumn id="5" xr3:uid="{FD6D4DA1-E9FD-4F3C-8AA9-66DE3722EBC0}" name="Units Sold" dataDxfId="7"/>
    <tableColumn id="6" xr3:uid="{DE89B217-1633-4576-AFAF-22B006A1399C}" name="Revenue" dataDxfId="6" dataCellStyle="Comma"/>
    <tableColumn id="7" xr3:uid="{C5A6BF88-AC3C-4AEA-A57D-E5D847D4143E}" name="Cost of Goods Sold" dataDxfId="5" dataCellStyle="Comma"/>
    <tableColumn id="8" xr3:uid="{9B112B04-89D5-4775-9839-A2B59C2B2AC2}" name="Operating Expenses" dataDxfId="4" dataCellStyle="Comma"/>
    <tableColumn id="9" xr3:uid="{A1B1BC6B-3834-4BFA-8219-5D13A437C6E2}" name="Gross Profit" dataDxfId="3" dataCellStyle="Comma">
      <calculatedColumnFormula>F2-G2</calculatedColumnFormula>
    </tableColumn>
    <tableColumn id="10" xr3:uid="{E7D46B67-2B4E-4114-8908-15866EAE7B95}" name="Net Profit" dataDxfId="2" dataCellStyle="Comma">
      <calculatedColumnFormula>I2-H2</calculatedColumnFormula>
    </tableColumn>
    <tableColumn id="11" xr3:uid="{8048136F-1ED7-4C65-A981-6B7F500992B6}" name="Gross Margin " dataDxfId="1" dataCellStyle="Percent">
      <calculatedColumnFormula>I2/F2</calculatedColumnFormula>
    </tableColumn>
    <tableColumn id="12" xr3:uid="{42A2E857-7538-46ED-99AB-6FF84E8339D9}" name="Net Profit Margin " dataDxfId="0" dataCellStyle="Percent">
      <calculatedColumnFormula>J2/F2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zoomScaleNormal="100" workbookViewId="0">
      <pane ySplit="1" topLeftCell="A2" activePane="bottomLeft" state="frozen"/>
      <selection pane="bottomLeft" activeCell="F2" sqref="F2:F86"/>
    </sheetView>
  </sheetViews>
  <sheetFormatPr defaultColWidth="8.6328125" defaultRowHeight="14.5" x14ac:dyDescent="0.35"/>
  <cols>
    <col min="1" max="2" width="12" customWidth="1"/>
    <col min="3" max="3" width="16" customWidth="1"/>
    <col min="4" max="4" width="14" customWidth="1"/>
    <col min="5" max="5" width="14.90625" style="6" bestFit="1" customWidth="1"/>
    <col min="6" max="6" width="14" style="10" customWidth="1"/>
    <col min="7" max="7" width="22.26953125" style="10" customWidth="1"/>
    <col min="8" max="8" width="22.90625" style="10" customWidth="1"/>
    <col min="9" max="9" width="16.54296875" style="9" bestFit="1" customWidth="1"/>
    <col min="10" max="10" width="14" style="9" customWidth="1"/>
    <col min="11" max="11" width="15.7265625" style="12" customWidth="1"/>
    <col min="12" max="12" width="18.81640625" style="12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1" t="s">
        <v>36</v>
      </c>
      <c r="L1" s="11" t="s">
        <v>37</v>
      </c>
    </row>
    <row r="2" spans="1:12" x14ac:dyDescent="0.35">
      <c r="A2" s="2">
        <v>45866</v>
      </c>
      <c r="B2" s="3" t="s">
        <v>30</v>
      </c>
      <c r="C2" s="3" t="s">
        <v>17</v>
      </c>
      <c r="D2" s="3" t="s">
        <v>24</v>
      </c>
      <c r="E2" s="5">
        <v>483</v>
      </c>
      <c r="F2" s="8">
        <f>E2*140.53</f>
        <v>67875.990000000005</v>
      </c>
      <c r="G2" s="8">
        <f>E2*79.56</f>
        <v>38427.480000000003</v>
      </c>
      <c r="H2" s="8">
        <v>2933.38</v>
      </c>
      <c r="I2" s="9">
        <f t="shared" ref="I2:I33" si="0">F2-G2</f>
        <v>29448.510000000002</v>
      </c>
      <c r="J2" s="9">
        <f t="shared" ref="J2:J33" si="1">I2-H2</f>
        <v>26515.13</v>
      </c>
      <c r="K2" s="12">
        <f>I2/F2</f>
        <v>0.43385753931544868</v>
      </c>
      <c r="L2" s="12">
        <f>J2/F2</f>
        <v>0.39064078476056113</v>
      </c>
    </row>
    <row r="3" spans="1:12" hidden="1" x14ac:dyDescent="0.35">
      <c r="A3" s="2">
        <v>45662</v>
      </c>
      <c r="B3" s="3" t="s">
        <v>10</v>
      </c>
      <c r="C3" s="3" t="s">
        <v>11</v>
      </c>
      <c r="D3" s="3" t="s">
        <v>12</v>
      </c>
      <c r="E3" s="5">
        <v>493</v>
      </c>
      <c r="F3" s="8">
        <f>E3*134.22</f>
        <v>66170.460000000006</v>
      </c>
      <c r="G3" s="8">
        <f>E3*77.31</f>
        <v>38113.83</v>
      </c>
      <c r="H3" s="8">
        <v>1727.65</v>
      </c>
      <c r="I3" s="9">
        <f t="shared" si="0"/>
        <v>28056.630000000005</v>
      </c>
      <c r="J3" s="9">
        <f t="shared" si="1"/>
        <v>26328.980000000003</v>
      </c>
      <c r="K3" s="12">
        <f t="shared" ref="K3:K66" si="2">I3/F3</f>
        <v>0.42400536432722397</v>
      </c>
      <c r="L3" s="12">
        <f t="shared" ref="L3:L66" si="3">J3/F3</f>
        <v>0.39789628181517855</v>
      </c>
    </row>
    <row r="4" spans="1:12" hidden="1" x14ac:dyDescent="0.35">
      <c r="A4" s="2">
        <v>46014</v>
      </c>
      <c r="B4" s="3" t="s">
        <v>35</v>
      </c>
      <c r="C4" s="3" t="s">
        <v>13</v>
      </c>
      <c r="D4" s="3" t="s">
        <v>12</v>
      </c>
      <c r="E4" s="5">
        <v>417</v>
      </c>
      <c r="F4" s="8">
        <f>E4*147.82</f>
        <v>61640.939999999995</v>
      </c>
      <c r="G4" s="8">
        <f>E4*80.66</f>
        <v>33635.22</v>
      </c>
      <c r="H4" s="8">
        <v>1172.17</v>
      </c>
      <c r="I4" s="9">
        <f t="shared" si="0"/>
        <v>28005.719999999994</v>
      </c>
      <c r="J4" s="9">
        <f t="shared" si="1"/>
        <v>26833.549999999996</v>
      </c>
      <c r="K4" s="12">
        <f t="shared" si="2"/>
        <v>0.45433635502638337</v>
      </c>
      <c r="L4" s="12">
        <f t="shared" si="3"/>
        <v>0.43532025955476988</v>
      </c>
    </row>
    <row r="5" spans="1:12" hidden="1" x14ac:dyDescent="0.35">
      <c r="A5" s="2">
        <v>45838</v>
      </c>
      <c r="B5" s="3" t="s">
        <v>29</v>
      </c>
      <c r="C5" s="3" t="s">
        <v>13</v>
      </c>
      <c r="D5" s="3" t="s">
        <v>14</v>
      </c>
      <c r="E5" s="5">
        <v>446</v>
      </c>
      <c r="F5" s="8">
        <f>E5*135.37</f>
        <v>60375.020000000004</v>
      </c>
      <c r="G5" s="8">
        <f>E5*75.66</f>
        <v>33744.36</v>
      </c>
      <c r="H5" s="8">
        <v>1707.02</v>
      </c>
      <c r="I5" s="9">
        <f t="shared" si="0"/>
        <v>26630.660000000003</v>
      </c>
      <c r="J5" s="9">
        <f t="shared" si="1"/>
        <v>24923.640000000003</v>
      </c>
      <c r="K5" s="12">
        <f t="shared" si="2"/>
        <v>0.44108739011597847</v>
      </c>
      <c r="L5" s="12">
        <f t="shared" si="3"/>
        <v>0.41281377629357308</v>
      </c>
    </row>
    <row r="6" spans="1:12" hidden="1" x14ac:dyDescent="0.35">
      <c r="A6" s="2">
        <v>45957</v>
      </c>
      <c r="B6" s="3" t="s">
        <v>33</v>
      </c>
      <c r="C6" s="3" t="s">
        <v>21</v>
      </c>
      <c r="D6" s="3" t="s">
        <v>19</v>
      </c>
      <c r="E6" s="5">
        <v>448</v>
      </c>
      <c r="F6" s="8">
        <f>E6*133.89</f>
        <v>59982.719999999994</v>
      </c>
      <c r="G6" s="8">
        <f>E6*66.13</f>
        <v>29626.239999999998</v>
      </c>
      <c r="H6" s="8">
        <v>1535.54</v>
      </c>
      <c r="I6" s="9">
        <f t="shared" si="0"/>
        <v>30356.479999999996</v>
      </c>
      <c r="J6" s="9">
        <f t="shared" si="1"/>
        <v>28820.939999999995</v>
      </c>
      <c r="K6" s="12">
        <f t="shared" si="2"/>
        <v>0.50608708641422062</v>
      </c>
      <c r="L6" s="12">
        <f t="shared" si="3"/>
        <v>0.48048738036554522</v>
      </c>
    </row>
    <row r="7" spans="1:12" hidden="1" x14ac:dyDescent="0.35">
      <c r="A7" s="2">
        <v>45837</v>
      </c>
      <c r="B7" s="3" t="s">
        <v>29</v>
      </c>
      <c r="C7" s="3" t="s">
        <v>20</v>
      </c>
      <c r="D7" s="3" t="s">
        <v>12</v>
      </c>
      <c r="E7" s="5">
        <v>409</v>
      </c>
      <c r="F7" s="8">
        <f>E7*144.23</f>
        <v>58990.069999999992</v>
      </c>
      <c r="G7" s="8">
        <f>E7*51.93</f>
        <v>21239.37</v>
      </c>
      <c r="H7" s="8">
        <v>286.88</v>
      </c>
      <c r="I7" s="9">
        <f t="shared" si="0"/>
        <v>37750.699999999997</v>
      </c>
      <c r="J7" s="9">
        <f t="shared" si="1"/>
        <v>37463.82</v>
      </c>
      <c r="K7" s="12">
        <f t="shared" si="2"/>
        <v>0.63995007973375861</v>
      </c>
      <c r="L7" s="12">
        <f t="shared" si="3"/>
        <v>0.63508688835256522</v>
      </c>
    </row>
    <row r="8" spans="1:12" x14ac:dyDescent="0.35">
      <c r="A8" s="2">
        <v>45944</v>
      </c>
      <c r="B8" s="3" t="s">
        <v>33</v>
      </c>
      <c r="C8" s="3" t="s">
        <v>17</v>
      </c>
      <c r="D8" s="3" t="s">
        <v>26</v>
      </c>
      <c r="E8" s="5">
        <v>496</v>
      </c>
      <c r="F8" s="8">
        <f>E8*116.96</f>
        <v>58012.159999999996</v>
      </c>
      <c r="G8" s="8">
        <f>E8*53.88</f>
        <v>26724.48</v>
      </c>
      <c r="H8" s="8">
        <v>2482.02</v>
      </c>
      <c r="I8" s="9">
        <f t="shared" si="0"/>
        <v>31287.679999999997</v>
      </c>
      <c r="J8" s="9">
        <f t="shared" si="1"/>
        <v>28805.659999999996</v>
      </c>
      <c r="K8" s="12">
        <f t="shared" si="2"/>
        <v>0.53932968536251713</v>
      </c>
      <c r="L8" s="12">
        <f t="shared" si="3"/>
        <v>0.49654520707382727</v>
      </c>
    </row>
    <row r="9" spans="1:12" hidden="1" x14ac:dyDescent="0.35">
      <c r="A9" s="2">
        <v>45934</v>
      </c>
      <c r="B9" s="3" t="s">
        <v>33</v>
      </c>
      <c r="C9" s="3" t="s">
        <v>11</v>
      </c>
      <c r="D9" s="3" t="s">
        <v>12</v>
      </c>
      <c r="E9" s="5">
        <v>484</v>
      </c>
      <c r="F9" s="8">
        <f>E9*116.73</f>
        <v>56497.32</v>
      </c>
      <c r="G9" s="8">
        <f>E9*47.75</f>
        <v>23111</v>
      </c>
      <c r="H9" s="8">
        <v>1337.96</v>
      </c>
      <c r="I9" s="9">
        <f t="shared" si="0"/>
        <v>33386.32</v>
      </c>
      <c r="J9" s="9">
        <f t="shared" si="1"/>
        <v>32048.36</v>
      </c>
      <c r="K9" s="12">
        <f t="shared" si="2"/>
        <v>0.59093634883920154</v>
      </c>
      <c r="L9" s="12">
        <f t="shared" si="3"/>
        <v>0.56725451755941703</v>
      </c>
    </row>
    <row r="10" spans="1:12" hidden="1" x14ac:dyDescent="0.35">
      <c r="A10" s="2">
        <v>45770</v>
      </c>
      <c r="B10" s="3" t="s">
        <v>25</v>
      </c>
      <c r="C10" s="3" t="s">
        <v>15</v>
      </c>
      <c r="D10" s="3" t="s">
        <v>22</v>
      </c>
      <c r="E10" s="5">
        <v>424</v>
      </c>
      <c r="F10" s="8">
        <f>E10*132.36</f>
        <v>56120.640000000007</v>
      </c>
      <c r="G10" s="8">
        <f>E10*71.43</f>
        <v>30286.320000000003</v>
      </c>
      <c r="H10" s="8">
        <v>647.04999999999995</v>
      </c>
      <c r="I10" s="9">
        <f t="shared" si="0"/>
        <v>25834.320000000003</v>
      </c>
      <c r="J10" s="9">
        <f t="shared" si="1"/>
        <v>25187.270000000004</v>
      </c>
      <c r="K10" s="12">
        <f t="shared" si="2"/>
        <v>0.4603354487760653</v>
      </c>
      <c r="L10" s="12">
        <f t="shared" si="3"/>
        <v>0.44880582259931462</v>
      </c>
    </row>
    <row r="11" spans="1:12" hidden="1" x14ac:dyDescent="0.35">
      <c r="A11" s="2">
        <v>45785</v>
      </c>
      <c r="B11" s="3" t="s">
        <v>28</v>
      </c>
      <c r="C11" s="3" t="s">
        <v>11</v>
      </c>
      <c r="D11" s="3" t="s">
        <v>27</v>
      </c>
      <c r="E11" s="5">
        <v>423</v>
      </c>
      <c r="F11" s="8">
        <f>E11*131.28</f>
        <v>55531.44</v>
      </c>
      <c r="G11" s="8">
        <f>E11*64.01</f>
        <v>27076.230000000003</v>
      </c>
      <c r="H11" s="8">
        <v>341.65</v>
      </c>
      <c r="I11" s="9">
        <f t="shared" si="0"/>
        <v>28455.21</v>
      </c>
      <c r="J11" s="9">
        <f t="shared" si="1"/>
        <v>28113.559999999998</v>
      </c>
      <c r="K11" s="12">
        <f t="shared" si="2"/>
        <v>0.51241620962827539</v>
      </c>
      <c r="L11" s="12">
        <f t="shared" si="3"/>
        <v>0.50626383900723615</v>
      </c>
    </row>
    <row r="12" spans="1:12" hidden="1" x14ac:dyDescent="0.35">
      <c r="A12" s="2">
        <v>45800</v>
      </c>
      <c r="B12" s="3" t="s">
        <v>28</v>
      </c>
      <c r="C12" s="3" t="s">
        <v>13</v>
      </c>
      <c r="D12" s="3" t="s">
        <v>14</v>
      </c>
      <c r="E12" s="5">
        <v>357</v>
      </c>
      <c r="F12" s="8">
        <f>E12*147.46</f>
        <v>52643.22</v>
      </c>
      <c r="G12" s="8">
        <f>E12*71.38</f>
        <v>25482.66</v>
      </c>
      <c r="H12" s="8">
        <v>2829.86</v>
      </c>
      <c r="I12" s="9">
        <f t="shared" si="0"/>
        <v>27160.560000000001</v>
      </c>
      <c r="J12" s="9">
        <f t="shared" si="1"/>
        <v>24330.7</v>
      </c>
      <c r="K12" s="12">
        <f t="shared" si="2"/>
        <v>0.51593652515936528</v>
      </c>
      <c r="L12" s="12">
        <f t="shared" si="3"/>
        <v>0.46218107478987797</v>
      </c>
    </row>
    <row r="13" spans="1:12" hidden="1" x14ac:dyDescent="0.35">
      <c r="A13" s="2">
        <v>45977</v>
      </c>
      <c r="B13" s="3" t="s">
        <v>34</v>
      </c>
      <c r="C13" s="3" t="s">
        <v>13</v>
      </c>
      <c r="D13" s="3" t="s">
        <v>12</v>
      </c>
      <c r="E13" s="5">
        <v>378</v>
      </c>
      <c r="F13" s="8">
        <f>E13*136.51</f>
        <v>51600.78</v>
      </c>
      <c r="G13" s="8">
        <f>E13*65.09</f>
        <v>24604.02</v>
      </c>
      <c r="H13" s="8">
        <v>2067.3000000000002</v>
      </c>
      <c r="I13" s="9">
        <f t="shared" si="0"/>
        <v>26996.76</v>
      </c>
      <c r="J13" s="9">
        <f t="shared" si="1"/>
        <v>24929.46</v>
      </c>
      <c r="K13" s="12">
        <f t="shared" si="2"/>
        <v>0.52318511464361583</v>
      </c>
      <c r="L13" s="12">
        <f t="shared" si="3"/>
        <v>0.48312176676399077</v>
      </c>
    </row>
    <row r="14" spans="1:12" hidden="1" x14ac:dyDescent="0.35">
      <c r="A14" s="2">
        <v>45784</v>
      </c>
      <c r="B14" s="3" t="s">
        <v>28</v>
      </c>
      <c r="C14" s="3" t="s">
        <v>21</v>
      </c>
      <c r="D14" s="3" t="s">
        <v>22</v>
      </c>
      <c r="E14" s="5">
        <v>402</v>
      </c>
      <c r="F14" s="8">
        <f>E14*119.99</f>
        <v>48235.979999999996</v>
      </c>
      <c r="G14" s="8">
        <f>E14*56.53</f>
        <v>22725.06</v>
      </c>
      <c r="H14" s="8">
        <v>869.89</v>
      </c>
      <c r="I14" s="9">
        <f t="shared" si="0"/>
        <v>25510.919999999995</v>
      </c>
      <c r="J14" s="9">
        <f t="shared" si="1"/>
        <v>24641.029999999995</v>
      </c>
      <c r="K14" s="12">
        <f t="shared" si="2"/>
        <v>0.52887740645053749</v>
      </c>
      <c r="L14" s="12">
        <f t="shared" si="3"/>
        <v>0.51084335800786052</v>
      </c>
    </row>
    <row r="15" spans="1:12" hidden="1" x14ac:dyDescent="0.35">
      <c r="A15" s="2">
        <v>45717</v>
      </c>
      <c r="B15" s="3" t="s">
        <v>23</v>
      </c>
      <c r="C15" s="3" t="s">
        <v>13</v>
      </c>
      <c r="D15" s="3" t="s">
        <v>24</v>
      </c>
      <c r="E15" s="5">
        <v>307</v>
      </c>
      <c r="F15" s="8">
        <f>E15*144.94</f>
        <v>44496.58</v>
      </c>
      <c r="G15" s="8">
        <f>E15*60.35</f>
        <v>18527.45</v>
      </c>
      <c r="H15" s="8">
        <v>503.53</v>
      </c>
      <c r="I15" s="9">
        <f t="shared" si="0"/>
        <v>25969.13</v>
      </c>
      <c r="J15" s="9">
        <f t="shared" si="1"/>
        <v>25465.600000000002</v>
      </c>
      <c r="K15" s="12">
        <f t="shared" si="2"/>
        <v>0.58362080861045951</v>
      </c>
      <c r="L15" s="12">
        <f t="shared" si="3"/>
        <v>0.57230465802090857</v>
      </c>
    </row>
    <row r="16" spans="1:12" x14ac:dyDescent="0.35">
      <c r="A16" s="2">
        <v>45992</v>
      </c>
      <c r="B16" s="3" t="s">
        <v>35</v>
      </c>
      <c r="C16" s="3" t="s">
        <v>17</v>
      </c>
      <c r="D16" s="3" t="s">
        <v>19</v>
      </c>
      <c r="E16" s="5">
        <v>351</v>
      </c>
      <c r="F16" s="8">
        <f>E16*125.31</f>
        <v>43983.81</v>
      </c>
      <c r="G16" s="8">
        <f>E16*53.24</f>
        <v>18687.240000000002</v>
      </c>
      <c r="H16" s="8">
        <v>2057.4899999999998</v>
      </c>
      <c r="I16" s="9">
        <f t="shared" si="0"/>
        <v>25296.569999999996</v>
      </c>
      <c r="J16" s="9">
        <f t="shared" si="1"/>
        <v>23239.079999999994</v>
      </c>
      <c r="K16" s="12">
        <f t="shared" si="2"/>
        <v>0.57513366850211467</v>
      </c>
      <c r="L16" s="12">
        <f t="shared" si="3"/>
        <v>0.52835531983245643</v>
      </c>
    </row>
    <row r="17" spans="1:12" hidden="1" x14ac:dyDescent="0.35">
      <c r="A17" s="2">
        <v>45880</v>
      </c>
      <c r="B17" s="3" t="s">
        <v>31</v>
      </c>
      <c r="C17" s="3" t="s">
        <v>20</v>
      </c>
      <c r="D17" s="3" t="s">
        <v>22</v>
      </c>
      <c r="E17" s="5">
        <v>325</v>
      </c>
      <c r="F17" s="8">
        <f>E17*124.11</f>
        <v>40335.75</v>
      </c>
      <c r="G17" s="8">
        <f>E17*60.14</f>
        <v>19545.5</v>
      </c>
      <c r="H17" s="8">
        <v>1553.79</v>
      </c>
      <c r="I17" s="9">
        <f t="shared" si="0"/>
        <v>20790.25</v>
      </c>
      <c r="J17" s="9">
        <f t="shared" si="1"/>
        <v>19236.46</v>
      </c>
      <c r="K17" s="12">
        <f t="shared" si="2"/>
        <v>0.5154298606075256</v>
      </c>
      <c r="L17" s="12">
        <f t="shared" si="3"/>
        <v>0.47690844970032786</v>
      </c>
    </row>
    <row r="18" spans="1:12" hidden="1" x14ac:dyDescent="0.35">
      <c r="A18" s="2">
        <v>45928</v>
      </c>
      <c r="B18" s="3" t="s">
        <v>32</v>
      </c>
      <c r="C18" s="3" t="s">
        <v>13</v>
      </c>
      <c r="D18" s="3" t="s">
        <v>19</v>
      </c>
      <c r="E18" s="5">
        <v>358</v>
      </c>
      <c r="F18" s="8">
        <f>E18*112.3</f>
        <v>40203.4</v>
      </c>
      <c r="G18" s="8">
        <f>E18*58.44</f>
        <v>20921.52</v>
      </c>
      <c r="H18" s="8">
        <v>1703.52</v>
      </c>
      <c r="I18" s="9">
        <f t="shared" si="0"/>
        <v>19281.88</v>
      </c>
      <c r="J18" s="9">
        <f t="shared" si="1"/>
        <v>17578.36</v>
      </c>
      <c r="K18" s="12">
        <f t="shared" si="2"/>
        <v>0.47960819234194124</v>
      </c>
      <c r="L18" s="12">
        <f t="shared" si="3"/>
        <v>0.43723565668575293</v>
      </c>
    </row>
    <row r="19" spans="1:12" x14ac:dyDescent="0.35">
      <c r="A19" s="2">
        <v>45792</v>
      </c>
      <c r="B19" s="3" t="s">
        <v>28</v>
      </c>
      <c r="C19" s="3" t="s">
        <v>17</v>
      </c>
      <c r="D19" s="3" t="s">
        <v>24</v>
      </c>
      <c r="E19" s="5">
        <v>269</v>
      </c>
      <c r="F19" s="8">
        <f>E19*138.2</f>
        <v>37175.799999999996</v>
      </c>
      <c r="G19" s="8">
        <f>E19*78.45</f>
        <v>21103.05</v>
      </c>
      <c r="H19" s="8">
        <v>1035.6500000000001</v>
      </c>
      <c r="I19" s="9">
        <f t="shared" si="0"/>
        <v>16072.749999999996</v>
      </c>
      <c r="J19" s="9">
        <f t="shared" si="1"/>
        <v>15037.099999999997</v>
      </c>
      <c r="K19" s="12">
        <f t="shared" si="2"/>
        <v>0.43234442836468878</v>
      </c>
      <c r="L19" s="12">
        <f t="shared" si="3"/>
        <v>0.40448625180897246</v>
      </c>
    </row>
    <row r="20" spans="1:12" hidden="1" x14ac:dyDescent="0.35">
      <c r="A20" s="2">
        <v>45729</v>
      </c>
      <c r="B20" s="3" t="s">
        <v>23</v>
      </c>
      <c r="C20" s="3" t="s">
        <v>20</v>
      </c>
      <c r="D20" s="3" t="s">
        <v>22</v>
      </c>
      <c r="E20" s="5">
        <v>392</v>
      </c>
      <c r="F20" s="8">
        <f>E20*93.92</f>
        <v>36816.639999999999</v>
      </c>
      <c r="G20" s="8">
        <f>E20*53.95</f>
        <v>21148.400000000001</v>
      </c>
      <c r="H20" s="8">
        <v>1318.32</v>
      </c>
      <c r="I20" s="9">
        <f t="shared" si="0"/>
        <v>15668.239999999998</v>
      </c>
      <c r="J20" s="9">
        <f t="shared" si="1"/>
        <v>14349.919999999998</v>
      </c>
      <c r="K20" s="12">
        <f t="shared" si="2"/>
        <v>0.42557495741056212</v>
      </c>
      <c r="L20" s="12">
        <f t="shared" si="3"/>
        <v>0.38976723568473381</v>
      </c>
    </row>
    <row r="21" spans="1:12" hidden="1" x14ac:dyDescent="0.35">
      <c r="A21" s="2">
        <v>45987</v>
      </c>
      <c r="B21" s="3" t="s">
        <v>34</v>
      </c>
      <c r="C21" s="3" t="s">
        <v>15</v>
      </c>
      <c r="D21" s="3" t="s">
        <v>24</v>
      </c>
      <c r="E21" s="5">
        <v>453</v>
      </c>
      <c r="F21" s="8">
        <f>E21*77.33</f>
        <v>35030.49</v>
      </c>
      <c r="G21" s="8">
        <f>E21*28.04</f>
        <v>12702.119999999999</v>
      </c>
      <c r="H21" s="8">
        <v>1261.49</v>
      </c>
      <c r="I21" s="9">
        <f t="shared" si="0"/>
        <v>22328.37</v>
      </c>
      <c r="J21" s="9">
        <f t="shared" si="1"/>
        <v>21066.879999999997</v>
      </c>
      <c r="K21" s="12">
        <f t="shared" si="2"/>
        <v>0.63739816371395319</v>
      </c>
      <c r="L21" s="12">
        <f t="shared" si="3"/>
        <v>0.60138696318549922</v>
      </c>
    </row>
    <row r="22" spans="1:12" x14ac:dyDescent="0.35">
      <c r="A22" s="2">
        <v>45976</v>
      </c>
      <c r="B22" s="3" t="s">
        <v>34</v>
      </c>
      <c r="C22" s="3" t="s">
        <v>17</v>
      </c>
      <c r="D22" s="3" t="s">
        <v>19</v>
      </c>
      <c r="E22" s="5">
        <v>474</v>
      </c>
      <c r="F22" s="8">
        <f>E22*68.19</f>
        <v>32322.059999999998</v>
      </c>
      <c r="G22" s="8">
        <f>E22*33.49</f>
        <v>15874.26</v>
      </c>
      <c r="H22" s="8">
        <v>275.89</v>
      </c>
      <c r="I22" s="9">
        <f t="shared" si="0"/>
        <v>16447.799999999996</v>
      </c>
      <c r="J22" s="9">
        <f t="shared" si="1"/>
        <v>16171.909999999996</v>
      </c>
      <c r="K22" s="12">
        <f t="shared" si="2"/>
        <v>0.50887226866109392</v>
      </c>
      <c r="L22" s="12">
        <f t="shared" si="3"/>
        <v>0.50033661220850401</v>
      </c>
    </row>
    <row r="23" spans="1:12" hidden="1" x14ac:dyDescent="0.35">
      <c r="A23" s="2">
        <v>45969</v>
      </c>
      <c r="B23" s="3" t="s">
        <v>34</v>
      </c>
      <c r="C23" s="3" t="s">
        <v>21</v>
      </c>
      <c r="D23" s="3" t="s">
        <v>24</v>
      </c>
      <c r="E23" s="5">
        <v>283</v>
      </c>
      <c r="F23" s="8">
        <f>E23*113.43</f>
        <v>32100.690000000002</v>
      </c>
      <c r="G23" s="8">
        <f>E23*44.33</f>
        <v>12545.39</v>
      </c>
      <c r="H23" s="8">
        <v>1262.48</v>
      </c>
      <c r="I23" s="9">
        <f t="shared" si="0"/>
        <v>19555.300000000003</v>
      </c>
      <c r="J23" s="9">
        <f t="shared" si="1"/>
        <v>18292.820000000003</v>
      </c>
      <c r="K23" s="12">
        <f t="shared" si="2"/>
        <v>0.60918628228863625</v>
      </c>
      <c r="L23" s="12">
        <f t="shared" si="3"/>
        <v>0.5698575326573978</v>
      </c>
    </row>
    <row r="24" spans="1:12" hidden="1" x14ac:dyDescent="0.35">
      <c r="A24" s="2">
        <v>45817</v>
      </c>
      <c r="B24" s="3" t="s">
        <v>29</v>
      </c>
      <c r="C24" s="3" t="s">
        <v>15</v>
      </c>
      <c r="D24" s="3" t="s">
        <v>26</v>
      </c>
      <c r="E24" s="5">
        <v>234</v>
      </c>
      <c r="F24" s="8">
        <f>E24*136.45</f>
        <v>31929.299999999996</v>
      </c>
      <c r="G24" s="8">
        <f>E24*63.16</f>
        <v>14779.439999999999</v>
      </c>
      <c r="H24" s="8">
        <v>894.14</v>
      </c>
      <c r="I24" s="9">
        <f t="shared" si="0"/>
        <v>17149.859999999997</v>
      </c>
      <c r="J24" s="9">
        <f t="shared" si="1"/>
        <v>16255.719999999998</v>
      </c>
      <c r="K24" s="12">
        <f t="shared" si="2"/>
        <v>0.53711982411139614</v>
      </c>
      <c r="L24" s="12">
        <f t="shared" si="3"/>
        <v>0.5091160783355726</v>
      </c>
    </row>
    <row r="25" spans="1:12" x14ac:dyDescent="0.35">
      <c r="A25" s="2">
        <v>45893</v>
      </c>
      <c r="B25" s="3" t="s">
        <v>31</v>
      </c>
      <c r="C25" s="3" t="s">
        <v>17</v>
      </c>
      <c r="D25" s="3" t="s">
        <v>12</v>
      </c>
      <c r="E25" s="5">
        <v>482</v>
      </c>
      <c r="F25" s="8">
        <f>E25*66.1</f>
        <v>31860.199999999997</v>
      </c>
      <c r="G25" s="8">
        <f>E25*32.26</f>
        <v>15549.32</v>
      </c>
      <c r="H25" s="8">
        <v>2522.33</v>
      </c>
      <c r="I25" s="9">
        <f t="shared" si="0"/>
        <v>16310.879999999997</v>
      </c>
      <c r="J25" s="9">
        <f t="shared" si="1"/>
        <v>13788.549999999997</v>
      </c>
      <c r="K25" s="12">
        <f t="shared" si="2"/>
        <v>0.51195158850226929</v>
      </c>
      <c r="L25" s="12">
        <f t="shared" si="3"/>
        <v>0.43278290782857604</v>
      </c>
    </row>
    <row r="26" spans="1:12" hidden="1" x14ac:dyDescent="0.35">
      <c r="A26" s="2">
        <v>46004</v>
      </c>
      <c r="B26" s="3" t="s">
        <v>35</v>
      </c>
      <c r="C26" s="3" t="s">
        <v>21</v>
      </c>
      <c r="D26" s="3" t="s">
        <v>24</v>
      </c>
      <c r="E26" s="5">
        <v>325</v>
      </c>
      <c r="F26" s="8">
        <f>E26*91.83</f>
        <v>29844.75</v>
      </c>
      <c r="G26" s="8">
        <f>E26*41.46</f>
        <v>13474.5</v>
      </c>
      <c r="H26" s="8">
        <v>2534.4299999999998</v>
      </c>
      <c r="I26" s="9">
        <f t="shared" si="0"/>
        <v>16370.25</v>
      </c>
      <c r="J26" s="9">
        <f t="shared" si="1"/>
        <v>13835.82</v>
      </c>
      <c r="K26" s="12">
        <f t="shared" si="2"/>
        <v>0.54851355766089516</v>
      </c>
      <c r="L26" s="12">
        <f t="shared" si="3"/>
        <v>0.46359309426281003</v>
      </c>
    </row>
    <row r="27" spans="1:12" hidden="1" x14ac:dyDescent="0.35">
      <c r="A27" s="2">
        <v>45888</v>
      </c>
      <c r="B27" s="3" t="s">
        <v>31</v>
      </c>
      <c r="C27" s="3" t="s">
        <v>20</v>
      </c>
      <c r="D27" s="3" t="s">
        <v>27</v>
      </c>
      <c r="E27" s="5">
        <v>301</v>
      </c>
      <c r="F27" s="8">
        <f>E27*97.39</f>
        <v>29314.39</v>
      </c>
      <c r="G27" s="8">
        <f>E27*43.31</f>
        <v>13036.310000000001</v>
      </c>
      <c r="H27" s="8">
        <v>280.36</v>
      </c>
      <c r="I27" s="9">
        <f t="shared" si="0"/>
        <v>16278.079999999998</v>
      </c>
      <c r="J27" s="9">
        <f t="shared" si="1"/>
        <v>15997.719999999998</v>
      </c>
      <c r="K27" s="12">
        <f t="shared" si="2"/>
        <v>0.55529315124756129</v>
      </c>
      <c r="L27" s="12">
        <f t="shared" si="3"/>
        <v>0.54572924764936259</v>
      </c>
    </row>
    <row r="28" spans="1:12" hidden="1" x14ac:dyDescent="0.35">
      <c r="A28" s="2">
        <v>45819</v>
      </c>
      <c r="B28" s="3" t="s">
        <v>29</v>
      </c>
      <c r="C28" s="3" t="s">
        <v>20</v>
      </c>
      <c r="D28" s="3" t="s">
        <v>27</v>
      </c>
      <c r="E28" s="5">
        <v>212</v>
      </c>
      <c r="F28" s="8">
        <f>E28*134.43</f>
        <v>28499.16</v>
      </c>
      <c r="G28" s="8">
        <f>E28*68.66</f>
        <v>14555.92</v>
      </c>
      <c r="H28" s="8">
        <v>600.04</v>
      </c>
      <c r="I28" s="9">
        <f t="shared" si="0"/>
        <v>13943.24</v>
      </c>
      <c r="J28" s="9">
        <f t="shared" si="1"/>
        <v>13343.2</v>
      </c>
      <c r="K28" s="12">
        <f t="shared" si="2"/>
        <v>0.4892509112549282</v>
      </c>
      <c r="L28" s="12">
        <f t="shared" si="3"/>
        <v>0.4681962556089373</v>
      </c>
    </row>
    <row r="29" spans="1:12" hidden="1" x14ac:dyDescent="0.35">
      <c r="A29" s="2">
        <v>45921</v>
      </c>
      <c r="B29" s="3" t="s">
        <v>32</v>
      </c>
      <c r="C29" s="3" t="s">
        <v>20</v>
      </c>
      <c r="D29" s="3" t="s">
        <v>22</v>
      </c>
      <c r="E29" s="5">
        <v>352</v>
      </c>
      <c r="F29" s="8">
        <f>E29*80.53</f>
        <v>28346.560000000001</v>
      </c>
      <c r="G29" s="8">
        <f>E29*39.04</f>
        <v>13742.08</v>
      </c>
      <c r="H29" s="8">
        <v>2225.39</v>
      </c>
      <c r="I29" s="9">
        <f t="shared" si="0"/>
        <v>14604.480000000001</v>
      </c>
      <c r="J29" s="9">
        <f t="shared" si="1"/>
        <v>12379.090000000002</v>
      </c>
      <c r="K29" s="12">
        <f t="shared" si="2"/>
        <v>0.51521172233950085</v>
      </c>
      <c r="L29" s="12">
        <f t="shared" si="3"/>
        <v>0.43670519456329099</v>
      </c>
    </row>
    <row r="30" spans="1:12" hidden="1" x14ac:dyDescent="0.35">
      <c r="A30" s="2">
        <v>45690</v>
      </c>
      <c r="B30" s="3" t="s">
        <v>18</v>
      </c>
      <c r="C30" s="3" t="s">
        <v>13</v>
      </c>
      <c r="D30" s="3" t="s">
        <v>19</v>
      </c>
      <c r="E30" s="5">
        <v>311</v>
      </c>
      <c r="F30" s="8">
        <f>E30*89.78</f>
        <v>27921.58</v>
      </c>
      <c r="G30" s="8">
        <f>E30*44.63</f>
        <v>13879.93</v>
      </c>
      <c r="H30" s="8">
        <v>220.13</v>
      </c>
      <c r="I30" s="9">
        <f t="shared" si="0"/>
        <v>14041.650000000001</v>
      </c>
      <c r="J30" s="9">
        <f t="shared" si="1"/>
        <v>13821.520000000002</v>
      </c>
      <c r="K30" s="12">
        <f t="shared" si="2"/>
        <v>0.50289596792158608</v>
      </c>
      <c r="L30" s="12">
        <f t="shared" si="3"/>
        <v>0.49501210175068894</v>
      </c>
    </row>
    <row r="31" spans="1:12" hidden="1" x14ac:dyDescent="0.35">
      <c r="A31" s="2">
        <v>45813</v>
      </c>
      <c r="B31" s="3" t="s">
        <v>29</v>
      </c>
      <c r="C31" s="3" t="s">
        <v>13</v>
      </c>
      <c r="D31" s="3" t="s">
        <v>16</v>
      </c>
      <c r="E31" s="5">
        <v>230</v>
      </c>
      <c r="F31" s="8">
        <f>E31*121.08</f>
        <v>27848.399999999998</v>
      </c>
      <c r="G31" s="8">
        <f>E31*60.74</f>
        <v>13970.2</v>
      </c>
      <c r="H31" s="8">
        <v>1102.3</v>
      </c>
      <c r="I31" s="9">
        <f t="shared" si="0"/>
        <v>13878.199999999997</v>
      </c>
      <c r="J31" s="9">
        <f t="shared" si="1"/>
        <v>12775.899999999998</v>
      </c>
      <c r="K31" s="12">
        <f t="shared" si="2"/>
        <v>0.49834819953749582</v>
      </c>
      <c r="L31" s="12">
        <f t="shared" si="3"/>
        <v>0.45876603323709797</v>
      </c>
    </row>
    <row r="32" spans="1:12" hidden="1" x14ac:dyDescent="0.35">
      <c r="A32" s="2">
        <v>45852</v>
      </c>
      <c r="B32" s="3" t="s">
        <v>30</v>
      </c>
      <c r="C32" s="3" t="s">
        <v>11</v>
      </c>
      <c r="D32" s="3" t="s">
        <v>26</v>
      </c>
      <c r="E32" s="5">
        <v>443</v>
      </c>
      <c r="F32" s="8">
        <f>E32*61.43</f>
        <v>27213.49</v>
      </c>
      <c r="G32" s="8">
        <f>E32*25.56</f>
        <v>11323.08</v>
      </c>
      <c r="H32" s="8">
        <v>321.66000000000003</v>
      </c>
      <c r="I32" s="9">
        <f t="shared" si="0"/>
        <v>15890.410000000002</v>
      </c>
      <c r="J32" s="9">
        <f t="shared" si="1"/>
        <v>15568.750000000002</v>
      </c>
      <c r="K32" s="12">
        <f t="shared" si="2"/>
        <v>0.58391665310109075</v>
      </c>
      <c r="L32" s="12">
        <f t="shared" si="3"/>
        <v>0.57209677994259467</v>
      </c>
    </row>
    <row r="33" spans="1:12" hidden="1" x14ac:dyDescent="0.35">
      <c r="A33" s="2">
        <v>45793</v>
      </c>
      <c r="B33" s="3" t="s">
        <v>28</v>
      </c>
      <c r="C33" s="3" t="s">
        <v>15</v>
      </c>
      <c r="D33" s="3" t="s">
        <v>22</v>
      </c>
      <c r="E33" s="5">
        <v>226</v>
      </c>
      <c r="F33" s="8">
        <f>E33*109.04</f>
        <v>24643.040000000001</v>
      </c>
      <c r="G33" s="8">
        <f>E33*58.08</f>
        <v>13126.08</v>
      </c>
      <c r="H33" s="8">
        <v>2393.41</v>
      </c>
      <c r="I33" s="9">
        <f t="shared" si="0"/>
        <v>11516.960000000001</v>
      </c>
      <c r="J33" s="9">
        <f t="shared" si="1"/>
        <v>9123.5500000000011</v>
      </c>
      <c r="K33" s="12">
        <f t="shared" si="2"/>
        <v>0.4673514306676449</v>
      </c>
      <c r="L33" s="12">
        <f t="shared" si="3"/>
        <v>0.37022826729169783</v>
      </c>
    </row>
    <row r="34" spans="1:12" hidden="1" x14ac:dyDescent="0.35">
      <c r="A34" s="2">
        <v>45786</v>
      </c>
      <c r="B34" s="3" t="s">
        <v>28</v>
      </c>
      <c r="C34" s="3" t="s">
        <v>11</v>
      </c>
      <c r="D34" s="3" t="s">
        <v>12</v>
      </c>
      <c r="E34" s="5">
        <v>334</v>
      </c>
      <c r="F34" s="8">
        <f>E34*72.18</f>
        <v>24108.120000000003</v>
      </c>
      <c r="G34" s="8">
        <f>E34*30.26</f>
        <v>10106.84</v>
      </c>
      <c r="H34" s="8">
        <v>209.93</v>
      </c>
      <c r="I34" s="9">
        <f t="shared" ref="I34:I65" si="4">F34-G34</f>
        <v>14001.280000000002</v>
      </c>
      <c r="J34" s="9">
        <f t="shared" ref="J34:J65" si="5">I34-H34</f>
        <v>13791.350000000002</v>
      </c>
      <c r="K34" s="12">
        <f t="shared" si="2"/>
        <v>0.58077029648101974</v>
      </c>
      <c r="L34" s="12">
        <f t="shared" si="3"/>
        <v>0.57206244203197931</v>
      </c>
    </row>
    <row r="35" spans="1:12" x14ac:dyDescent="0.35">
      <c r="A35" s="2">
        <v>45678</v>
      </c>
      <c r="B35" s="3" t="s">
        <v>10</v>
      </c>
      <c r="C35" s="3" t="s">
        <v>17</v>
      </c>
      <c r="D35" s="3" t="s">
        <v>12</v>
      </c>
      <c r="E35" s="5">
        <v>224</v>
      </c>
      <c r="F35" s="8">
        <f>E35*103.75</f>
        <v>23240</v>
      </c>
      <c r="G35" s="8">
        <f>E35*50.97</f>
        <v>11417.279999999999</v>
      </c>
      <c r="H35" s="8">
        <v>1085.8399999999999</v>
      </c>
      <c r="I35" s="9">
        <f t="shared" si="4"/>
        <v>11822.720000000001</v>
      </c>
      <c r="J35" s="9">
        <f t="shared" si="5"/>
        <v>10736.880000000001</v>
      </c>
      <c r="K35" s="12">
        <f t="shared" si="2"/>
        <v>0.50872289156626516</v>
      </c>
      <c r="L35" s="12">
        <f t="shared" si="3"/>
        <v>0.46200000000000002</v>
      </c>
    </row>
    <row r="36" spans="1:12" hidden="1" x14ac:dyDescent="0.35">
      <c r="A36" s="2">
        <v>45881</v>
      </c>
      <c r="B36" s="3" t="s">
        <v>31</v>
      </c>
      <c r="C36" s="3" t="s">
        <v>21</v>
      </c>
      <c r="D36" s="3" t="s">
        <v>22</v>
      </c>
      <c r="E36" s="5">
        <v>175</v>
      </c>
      <c r="F36" s="8">
        <f>E36*129.98</f>
        <v>22746.5</v>
      </c>
      <c r="G36" s="8">
        <f>E36*72.49</f>
        <v>12685.75</v>
      </c>
      <c r="H36" s="8">
        <v>442.66</v>
      </c>
      <c r="I36" s="9">
        <f t="shared" si="4"/>
        <v>10060.75</v>
      </c>
      <c r="J36" s="9">
        <f t="shared" si="5"/>
        <v>9618.09</v>
      </c>
      <c r="K36" s="12">
        <f t="shared" si="2"/>
        <v>0.44229881520233882</v>
      </c>
      <c r="L36" s="12">
        <f t="shared" si="3"/>
        <v>0.42283823884993299</v>
      </c>
    </row>
    <row r="37" spans="1:12" hidden="1" x14ac:dyDescent="0.35">
      <c r="A37" s="2">
        <v>45880</v>
      </c>
      <c r="B37" s="3" t="s">
        <v>31</v>
      </c>
      <c r="C37" s="3" t="s">
        <v>13</v>
      </c>
      <c r="D37" s="3" t="s">
        <v>26</v>
      </c>
      <c r="E37" s="5">
        <v>233</v>
      </c>
      <c r="F37" s="8">
        <f>E37*96.84</f>
        <v>22563.72</v>
      </c>
      <c r="G37" s="8">
        <f>E37*46.28</f>
        <v>10783.24</v>
      </c>
      <c r="H37" s="8">
        <v>1278.55</v>
      </c>
      <c r="I37" s="9">
        <f t="shared" si="4"/>
        <v>11780.480000000001</v>
      </c>
      <c r="J37" s="9">
        <f t="shared" si="5"/>
        <v>10501.930000000002</v>
      </c>
      <c r="K37" s="12">
        <f t="shared" si="2"/>
        <v>0.52209830648492361</v>
      </c>
      <c r="L37" s="12">
        <f t="shared" si="3"/>
        <v>0.46543433440939708</v>
      </c>
    </row>
    <row r="38" spans="1:12" hidden="1" x14ac:dyDescent="0.35">
      <c r="A38" s="2">
        <v>46004</v>
      </c>
      <c r="B38" s="3" t="s">
        <v>35</v>
      </c>
      <c r="C38" s="3" t="s">
        <v>21</v>
      </c>
      <c r="D38" s="3" t="s">
        <v>12</v>
      </c>
      <c r="E38" s="5">
        <v>312</v>
      </c>
      <c r="F38" s="8">
        <f>E38*71.96</f>
        <v>22451.519999999997</v>
      </c>
      <c r="G38" s="8">
        <f>E38*25.72</f>
        <v>8024.6399999999994</v>
      </c>
      <c r="H38" s="8">
        <v>812.19</v>
      </c>
      <c r="I38" s="9">
        <f t="shared" si="4"/>
        <v>14426.879999999997</v>
      </c>
      <c r="J38" s="9">
        <f t="shared" si="5"/>
        <v>13614.689999999997</v>
      </c>
      <c r="K38" s="12">
        <f t="shared" si="2"/>
        <v>0.64257921067259582</v>
      </c>
      <c r="L38" s="12">
        <f t="shared" si="3"/>
        <v>0.60640393167144135</v>
      </c>
    </row>
    <row r="39" spans="1:12" hidden="1" x14ac:dyDescent="0.35">
      <c r="A39" s="2">
        <v>45728</v>
      </c>
      <c r="B39" s="3" t="s">
        <v>23</v>
      </c>
      <c r="C39" s="3" t="s">
        <v>20</v>
      </c>
      <c r="D39" s="3" t="s">
        <v>16</v>
      </c>
      <c r="E39" s="5">
        <v>206</v>
      </c>
      <c r="F39" s="8">
        <f>E39*108.68</f>
        <v>22388.080000000002</v>
      </c>
      <c r="G39" s="8">
        <f>E39*57.23</f>
        <v>11789.38</v>
      </c>
      <c r="H39" s="8">
        <v>379.84</v>
      </c>
      <c r="I39" s="9">
        <f t="shared" si="4"/>
        <v>10598.700000000003</v>
      </c>
      <c r="J39" s="9">
        <f t="shared" si="5"/>
        <v>10218.860000000002</v>
      </c>
      <c r="K39" s="12">
        <f t="shared" si="2"/>
        <v>0.47340817077659192</v>
      </c>
      <c r="L39" s="12">
        <f t="shared" si="3"/>
        <v>0.45644199949258718</v>
      </c>
    </row>
    <row r="40" spans="1:12" hidden="1" x14ac:dyDescent="0.35">
      <c r="A40" s="2">
        <v>45785</v>
      </c>
      <c r="B40" s="3" t="s">
        <v>28</v>
      </c>
      <c r="C40" s="3" t="s">
        <v>20</v>
      </c>
      <c r="D40" s="3" t="s">
        <v>16</v>
      </c>
      <c r="E40" s="5">
        <v>284</v>
      </c>
      <c r="F40" s="8">
        <f>E40*75.56</f>
        <v>21459.040000000001</v>
      </c>
      <c r="G40" s="8">
        <f>E40*34.42</f>
        <v>9775.2800000000007</v>
      </c>
      <c r="H40" s="8">
        <v>979.93</v>
      </c>
      <c r="I40" s="9">
        <f t="shared" si="4"/>
        <v>11683.76</v>
      </c>
      <c r="J40" s="9">
        <f t="shared" si="5"/>
        <v>10703.83</v>
      </c>
      <c r="K40" s="12">
        <f t="shared" si="2"/>
        <v>0.54446797247220746</v>
      </c>
      <c r="L40" s="12">
        <f t="shared" si="3"/>
        <v>0.49880283554157129</v>
      </c>
    </row>
    <row r="41" spans="1:12" hidden="1" x14ac:dyDescent="0.35">
      <c r="A41" s="2">
        <v>45766</v>
      </c>
      <c r="B41" s="3" t="s">
        <v>25</v>
      </c>
      <c r="C41" s="3" t="s">
        <v>15</v>
      </c>
      <c r="D41" s="3" t="s">
        <v>26</v>
      </c>
      <c r="E41" s="5">
        <v>182</v>
      </c>
      <c r="F41" s="8">
        <f>E41*117.77</f>
        <v>21434.14</v>
      </c>
      <c r="G41" s="8">
        <f>E41*52.38</f>
        <v>9533.16</v>
      </c>
      <c r="H41" s="8">
        <v>2305.63</v>
      </c>
      <c r="I41" s="9">
        <f t="shared" si="4"/>
        <v>11900.98</v>
      </c>
      <c r="J41" s="9">
        <f t="shared" si="5"/>
        <v>9595.3499999999985</v>
      </c>
      <c r="K41" s="12">
        <f t="shared" si="2"/>
        <v>0.55523477965526025</v>
      </c>
      <c r="L41" s="12">
        <f t="shared" si="3"/>
        <v>0.44766666635563634</v>
      </c>
    </row>
    <row r="42" spans="1:12" hidden="1" x14ac:dyDescent="0.35">
      <c r="A42" s="2">
        <v>45884</v>
      </c>
      <c r="B42" s="3" t="s">
        <v>31</v>
      </c>
      <c r="C42" s="3" t="s">
        <v>15</v>
      </c>
      <c r="D42" s="3" t="s">
        <v>16</v>
      </c>
      <c r="E42" s="5">
        <v>271</v>
      </c>
      <c r="F42" s="8">
        <f>E42*78.88</f>
        <v>21376.48</v>
      </c>
      <c r="G42" s="8">
        <f>E42*45.38</f>
        <v>12297.980000000001</v>
      </c>
      <c r="H42" s="8">
        <v>2428.87</v>
      </c>
      <c r="I42" s="9">
        <f t="shared" si="4"/>
        <v>9078.4999999999982</v>
      </c>
      <c r="J42" s="9">
        <f t="shared" si="5"/>
        <v>6649.6299999999983</v>
      </c>
      <c r="K42" s="12">
        <f t="shared" si="2"/>
        <v>0.42469574036511148</v>
      </c>
      <c r="L42" s="12">
        <f t="shared" si="3"/>
        <v>0.31107226259889365</v>
      </c>
    </row>
    <row r="43" spans="1:12" hidden="1" x14ac:dyDescent="0.35">
      <c r="A43" s="2">
        <v>45985</v>
      </c>
      <c r="B43" s="3" t="s">
        <v>34</v>
      </c>
      <c r="C43" s="3" t="s">
        <v>21</v>
      </c>
      <c r="D43" s="3" t="s">
        <v>16</v>
      </c>
      <c r="E43" s="5">
        <v>360</v>
      </c>
      <c r="F43" s="8">
        <f>E43*58.78</f>
        <v>21160.799999999999</v>
      </c>
      <c r="G43" s="8">
        <f>E43*31.86</f>
        <v>11469.6</v>
      </c>
      <c r="H43" s="8">
        <v>356.63</v>
      </c>
      <c r="I43" s="9">
        <f t="shared" si="4"/>
        <v>9691.1999999999989</v>
      </c>
      <c r="J43" s="9">
        <f t="shared" si="5"/>
        <v>9334.57</v>
      </c>
      <c r="K43" s="12">
        <f t="shared" si="2"/>
        <v>0.45797890438924799</v>
      </c>
      <c r="L43" s="12">
        <f t="shared" si="3"/>
        <v>0.44112557181202977</v>
      </c>
    </row>
    <row r="44" spans="1:12" hidden="1" x14ac:dyDescent="0.35">
      <c r="A44" s="2">
        <v>45985</v>
      </c>
      <c r="B44" s="3" t="s">
        <v>34</v>
      </c>
      <c r="C44" s="3" t="s">
        <v>11</v>
      </c>
      <c r="D44" s="3" t="s">
        <v>19</v>
      </c>
      <c r="E44" s="5">
        <v>389</v>
      </c>
      <c r="F44" s="8">
        <f>E44*52.13</f>
        <v>20278.57</v>
      </c>
      <c r="G44" s="8">
        <f>E44*21.15</f>
        <v>8227.3499999999985</v>
      </c>
      <c r="H44" s="8">
        <v>2262.12</v>
      </c>
      <c r="I44" s="9">
        <f t="shared" si="4"/>
        <v>12051.220000000001</v>
      </c>
      <c r="J44" s="9">
        <f t="shared" si="5"/>
        <v>9789.1000000000022</v>
      </c>
      <c r="K44" s="12">
        <f t="shared" si="2"/>
        <v>0.59428352196431999</v>
      </c>
      <c r="L44" s="12">
        <f t="shared" si="3"/>
        <v>0.48273127740269667</v>
      </c>
    </row>
    <row r="45" spans="1:12" hidden="1" x14ac:dyDescent="0.35">
      <c r="A45" s="2">
        <v>45908</v>
      </c>
      <c r="B45" s="3" t="s">
        <v>32</v>
      </c>
      <c r="C45" s="3" t="s">
        <v>11</v>
      </c>
      <c r="D45" s="3" t="s">
        <v>14</v>
      </c>
      <c r="E45" s="5">
        <v>195</v>
      </c>
      <c r="F45" s="8">
        <f>E45*100.8</f>
        <v>19656</v>
      </c>
      <c r="G45" s="8">
        <f>E45*56.16</f>
        <v>10951.199999999999</v>
      </c>
      <c r="H45" s="8">
        <v>2180.46</v>
      </c>
      <c r="I45" s="9">
        <f t="shared" si="4"/>
        <v>8704.8000000000011</v>
      </c>
      <c r="J45" s="9">
        <f t="shared" si="5"/>
        <v>6524.3400000000011</v>
      </c>
      <c r="K45" s="12">
        <f t="shared" si="2"/>
        <v>0.44285714285714289</v>
      </c>
      <c r="L45" s="12">
        <f t="shared" si="3"/>
        <v>0.33192612942612948</v>
      </c>
    </row>
    <row r="46" spans="1:12" hidden="1" x14ac:dyDescent="0.35">
      <c r="A46" s="2">
        <v>45946</v>
      </c>
      <c r="B46" s="3" t="s">
        <v>33</v>
      </c>
      <c r="C46" s="3" t="s">
        <v>20</v>
      </c>
      <c r="D46" s="3" t="s">
        <v>27</v>
      </c>
      <c r="E46" s="5">
        <v>368</v>
      </c>
      <c r="F46" s="8">
        <f>E46*49.59</f>
        <v>18249.120000000003</v>
      </c>
      <c r="G46" s="8">
        <f>E46*21.93</f>
        <v>8070.24</v>
      </c>
      <c r="H46" s="8">
        <v>1896.5</v>
      </c>
      <c r="I46" s="9">
        <f t="shared" si="4"/>
        <v>10178.880000000003</v>
      </c>
      <c r="J46" s="9">
        <f t="shared" si="5"/>
        <v>8282.3800000000028</v>
      </c>
      <c r="K46" s="12">
        <f t="shared" si="2"/>
        <v>0.55777374470659413</v>
      </c>
      <c r="L46" s="12">
        <f t="shared" si="3"/>
        <v>0.45385092541448585</v>
      </c>
    </row>
    <row r="47" spans="1:12" hidden="1" x14ac:dyDescent="0.35">
      <c r="A47" s="2">
        <v>45847</v>
      </c>
      <c r="B47" s="3" t="s">
        <v>30</v>
      </c>
      <c r="C47" s="3" t="s">
        <v>13</v>
      </c>
      <c r="D47" s="3" t="s">
        <v>16</v>
      </c>
      <c r="E47" s="5">
        <v>353</v>
      </c>
      <c r="F47" s="8">
        <f>E47*51.04</f>
        <v>18017.12</v>
      </c>
      <c r="G47" s="8">
        <f>E47*29.82</f>
        <v>10526.460000000001</v>
      </c>
      <c r="H47" s="8">
        <v>2014.5</v>
      </c>
      <c r="I47" s="9">
        <f t="shared" si="4"/>
        <v>7490.659999999998</v>
      </c>
      <c r="J47" s="9">
        <f t="shared" si="5"/>
        <v>5476.159999999998</v>
      </c>
      <c r="K47" s="12">
        <f t="shared" si="2"/>
        <v>0.41575235109717862</v>
      </c>
      <c r="L47" s="12">
        <f t="shared" si="3"/>
        <v>0.3039420284706989</v>
      </c>
    </row>
    <row r="48" spans="1:12" hidden="1" x14ac:dyDescent="0.35">
      <c r="A48" s="2">
        <v>45815</v>
      </c>
      <c r="B48" s="3" t="s">
        <v>29</v>
      </c>
      <c r="C48" s="3" t="s">
        <v>20</v>
      </c>
      <c r="D48" s="3" t="s">
        <v>19</v>
      </c>
      <c r="E48" s="5">
        <v>133</v>
      </c>
      <c r="F48" s="8">
        <f>E48*133.53</f>
        <v>17759.490000000002</v>
      </c>
      <c r="G48" s="8">
        <f>E48*78.35</f>
        <v>10420.549999999999</v>
      </c>
      <c r="H48" s="8">
        <v>439.83</v>
      </c>
      <c r="I48" s="9">
        <f t="shared" si="4"/>
        <v>7338.9400000000023</v>
      </c>
      <c r="J48" s="9">
        <f t="shared" si="5"/>
        <v>6899.1100000000024</v>
      </c>
      <c r="K48" s="12">
        <f t="shared" si="2"/>
        <v>0.41324047030629829</v>
      </c>
      <c r="L48" s="12">
        <f t="shared" si="3"/>
        <v>0.38847455642025769</v>
      </c>
    </row>
    <row r="49" spans="1:12" hidden="1" x14ac:dyDescent="0.35">
      <c r="A49" s="2">
        <v>45678</v>
      </c>
      <c r="B49" s="3" t="s">
        <v>10</v>
      </c>
      <c r="C49" s="3" t="s">
        <v>13</v>
      </c>
      <c r="D49" s="3" t="s">
        <v>16</v>
      </c>
      <c r="E49" s="5">
        <v>359</v>
      </c>
      <c r="F49" s="8">
        <f>E49*48.69</f>
        <v>17479.71</v>
      </c>
      <c r="G49" s="8">
        <f>E49*18.29</f>
        <v>6566.11</v>
      </c>
      <c r="H49" s="8">
        <v>2384.33</v>
      </c>
      <c r="I49" s="9">
        <f t="shared" si="4"/>
        <v>10913.599999999999</v>
      </c>
      <c r="J49" s="9">
        <f t="shared" si="5"/>
        <v>8529.2699999999986</v>
      </c>
      <c r="K49" s="12">
        <f t="shared" si="2"/>
        <v>0.62435818443212154</v>
      </c>
      <c r="L49" s="12">
        <f t="shared" si="3"/>
        <v>0.48795260333266394</v>
      </c>
    </row>
    <row r="50" spans="1:12" x14ac:dyDescent="0.35">
      <c r="A50" s="2">
        <v>45901</v>
      </c>
      <c r="B50" s="3" t="s">
        <v>32</v>
      </c>
      <c r="C50" s="3" t="s">
        <v>17</v>
      </c>
      <c r="D50" s="3" t="s">
        <v>12</v>
      </c>
      <c r="E50" s="5">
        <v>243</v>
      </c>
      <c r="F50" s="8">
        <f>E50*70.95</f>
        <v>17240.850000000002</v>
      </c>
      <c r="G50" s="8">
        <f>E50*36</f>
        <v>8748</v>
      </c>
      <c r="H50" s="8">
        <v>744.42</v>
      </c>
      <c r="I50" s="9">
        <f t="shared" si="4"/>
        <v>8492.8500000000022</v>
      </c>
      <c r="J50" s="9">
        <f t="shared" si="5"/>
        <v>7748.4300000000021</v>
      </c>
      <c r="K50" s="12">
        <f t="shared" si="2"/>
        <v>0.49260042283298106</v>
      </c>
      <c r="L50" s="12">
        <f t="shared" si="3"/>
        <v>0.4494227372780345</v>
      </c>
    </row>
    <row r="51" spans="1:12" hidden="1" x14ac:dyDescent="0.35">
      <c r="A51" s="2">
        <v>45916</v>
      </c>
      <c r="B51" s="3" t="s">
        <v>32</v>
      </c>
      <c r="C51" s="3" t="s">
        <v>15</v>
      </c>
      <c r="D51" s="3" t="s">
        <v>27</v>
      </c>
      <c r="E51" s="5">
        <v>469</v>
      </c>
      <c r="F51" s="8">
        <f>E51*36.49</f>
        <v>17113.810000000001</v>
      </c>
      <c r="G51" s="8">
        <f>E51*20.63</f>
        <v>9675.4699999999993</v>
      </c>
      <c r="H51" s="8">
        <v>1460.2</v>
      </c>
      <c r="I51" s="9">
        <f t="shared" si="4"/>
        <v>7438.340000000002</v>
      </c>
      <c r="J51" s="9">
        <f t="shared" si="5"/>
        <v>5978.1400000000021</v>
      </c>
      <c r="K51" s="12">
        <f t="shared" si="2"/>
        <v>0.43463962729514943</v>
      </c>
      <c r="L51" s="12">
        <f t="shared" si="3"/>
        <v>0.34931672140803255</v>
      </c>
    </row>
    <row r="52" spans="1:12" x14ac:dyDescent="0.35">
      <c r="A52" s="2">
        <v>45928</v>
      </c>
      <c r="B52" s="3" t="s">
        <v>32</v>
      </c>
      <c r="C52" s="3" t="s">
        <v>17</v>
      </c>
      <c r="D52" s="3" t="s">
        <v>14</v>
      </c>
      <c r="E52" s="5">
        <v>118</v>
      </c>
      <c r="F52" s="8">
        <f>E52*140.4</f>
        <v>16567.2</v>
      </c>
      <c r="G52" s="8">
        <f>E52*75.65</f>
        <v>8926.7000000000007</v>
      </c>
      <c r="H52" s="8">
        <v>2131.63</v>
      </c>
      <c r="I52" s="9">
        <f t="shared" si="4"/>
        <v>7640.5</v>
      </c>
      <c r="J52" s="9">
        <f t="shared" si="5"/>
        <v>5508.87</v>
      </c>
      <c r="K52" s="12">
        <f t="shared" si="2"/>
        <v>0.46118233618233617</v>
      </c>
      <c r="L52" s="12">
        <f t="shared" si="3"/>
        <v>0.33251665942343905</v>
      </c>
    </row>
    <row r="53" spans="1:12" x14ac:dyDescent="0.35">
      <c r="A53" s="2">
        <v>45950</v>
      </c>
      <c r="B53" s="3" t="s">
        <v>33</v>
      </c>
      <c r="C53" s="3" t="s">
        <v>17</v>
      </c>
      <c r="D53" s="3" t="s">
        <v>27</v>
      </c>
      <c r="E53" s="5">
        <v>134</v>
      </c>
      <c r="F53" s="8">
        <f>E53*120.92</f>
        <v>16203.28</v>
      </c>
      <c r="G53" s="8">
        <f>E53*66.73</f>
        <v>8941.82</v>
      </c>
      <c r="H53" s="8">
        <v>733.15</v>
      </c>
      <c r="I53" s="9">
        <f t="shared" si="4"/>
        <v>7261.4600000000009</v>
      </c>
      <c r="J53" s="9">
        <f t="shared" si="5"/>
        <v>6528.3100000000013</v>
      </c>
      <c r="K53" s="12">
        <f t="shared" si="2"/>
        <v>0.4481475355607013</v>
      </c>
      <c r="L53" s="12">
        <f t="shared" si="3"/>
        <v>0.40290052384455499</v>
      </c>
    </row>
    <row r="54" spans="1:12" hidden="1" x14ac:dyDescent="0.35">
      <c r="A54" s="2">
        <v>45778</v>
      </c>
      <c r="B54" s="3" t="s">
        <v>28</v>
      </c>
      <c r="C54" s="3" t="s">
        <v>21</v>
      </c>
      <c r="D54" s="3" t="s">
        <v>22</v>
      </c>
      <c r="E54" s="5">
        <v>125</v>
      </c>
      <c r="F54" s="8">
        <f>E54*123.89</f>
        <v>15486.25</v>
      </c>
      <c r="G54" s="8">
        <f>E54*47.93</f>
        <v>5991.25</v>
      </c>
      <c r="H54" s="8">
        <v>329.4</v>
      </c>
      <c r="I54" s="9">
        <f t="shared" si="4"/>
        <v>9495</v>
      </c>
      <c r="J54" s="9">
        <f t="shared" si="5"/>
        <v>9165.6</v>
      </c>
      <c r="K54" s="12">
        <f t="shared" si="2"/>
        <v>0.61312454596819754</v>
      </c>
      <c r="L54" s="12">
        <f t="shared" si="3"/>
        <v>0.59185406408911134</v>
      </c>
    </row>
    <row r="55" spans="1:12" hidden="1" x14ac:dyDescent="0.35">
      <c r="A55" s="2">
        <v>45933</v>
      </c>
      <c r="B55" s="3" t="s">
        <v>33</v>
      </c>
      <c r="C55" s="3" t="s">
        <v>21</v>
      </c>
      <c r="D55" s="3" t="s">
        <v>16</v>
      </c>
      <c r="E55" s="5">
        <v>196</v>
      </c>
      <c r="F55" s="8">
        <f>E55*73.23</f>
        <v>14353.08</v>
      </c>
      <c r="G55" s="8">
        <f>E55*43</f>
        <v>8428</v>
      </c>
      <c r="H55" s="8">
        <v>2778.16</v>
      </c>
      <c r="I55" s="9">
        <f t="shared" si="4"/>
        <v>5925.08</v>
      </c>
      <c r="J55" s="9">
        <f t="shared" si="5"/>
        <v>3146.92</v>
      </c>
      <c r="K55" s="12">
        <f t="shared" si="2"/>
        <v>0.41280895807729073</v>
      </c>
      <c r="L55" s="12">
        <f t="shared" si="3"/>
        <v>0.21925050233120696</v>
      </c>
    </row>
    <row r="56" spans="1:12" hidden="1" x14ac:dyDescent="0.35">
      <c r="A56" s="2">
        <v>45774</v>
      </c>
      <c r="B56" s="3" t="s">
        <v>25</v>
      </c>
      <c r="C56" s="3" t="s">
        <v>20</v>
      </c>
      <c r="D56" s="3" t="s">
        <v>19</v>
      </c>
      <c r="E56" s="5">
        <v>347</v>
      </c>
      <c r="F56" s="8">
        <f>E56*41.07</f>
        <v>14251.29</v>
      </c>
      <c r="G56" s="8">
        <f>E56*17.74</f>
        <v>6155.78</v>
      </c>
      <c r="H56" s="8">
        <v>2620.19</v>
      </c>
      <c r="I56" s="9">
        <f t="shared" si="4"/>
        <v>8095.5100000000011</v>
      </c>
      <c r="J56" s="9">
        <f t="shared" si="5"/>
        <v>5475.3200000000015</v>
      </c>
      <c r="K56" s="12">
        <f t="shared" si="2"/>
        <v>0.56805454102751407</v>
      </c>
      <c r="L56" s="12">
        <f t="shared" si="3"/>
        <v>0.38419820240834346</v>
      </c>
    </row>
    <row r="57" spans="1:12" hidden="1" x14ac:dyDescent="0.35">
      <c r="A57" s="2">
        <v>45830</v>
      </c>
      <c r="B57" s="3" t="s">
        <v>29</v>
      </c>
      <c r="C57" s="3" t="s">
        <v>21</v>
      </c>
      <c r="D57" s="3" t="s">
        <v>14</v>
      </c>
      <c r="E57" s="5">
        <v>380</v>
      </c>
      <c r="F57" s="8">
        <f>E57*37.28</f>
        <v>14166.4</v>
      </c>
      <c r="G57" s="8">
        <f>E57*17.4</f>
        <v>6611.9999999999991</v>
      </c>
      <c r="H57" s="8">
        <v>557.36</v>
      </c>
      <c r="I57" s="9">
        <f t="shared" si="4"/>
        <v>7554.4000000000005</v>
      </c>
      <c r="J57" s="9">
        <f t="shared" si="5"/>
        <v>6997.0400000000009</v>
      </c>
      <c r="K57" s="12">
        <f t="shared" si="2"/>
        <v>0.53326180257510736</v>
      </c>
      <c r="L57" s="12">
        <f t="shared" si="3"/>
        <v>0.49391800316241252</v>
      </c>
    </row>
    <row r="58" spans="1:12" hidden="1" x14ac:dyDescent="0.35">
      <c r="A58" s="2">
        <v>45677</v>
      </c>
      <c r="B58" s="3" t="s">
        <v>10</v>
      </c>
      <c r="C58" s="3" t="s">
        <v>15</v>
      </c>
      <c r="D58" s="3" t="s">
        <v>16</v>
      </c>
      <c r="E58" s="5">
        <v>112</v>
      </c>
      <c r="F58" s="8">
        <f>E58*125.24</f>
        <v>14026.88</v>
      </c>
      <c r="G58" s="8">
        <f>E58*58.25</f>
        <v>6524</v>
      </c>
      <c r="H58" s="8">
        <v>1054.53</v>
      </c>
      <c r="I58" s="9">
        <f t="shared" si="4"/>
        <v>7502.8799999999992</v>
      </c>
      <c r="J58" s="9">
        <f t="shared" si="5"/>
        <v>6448.3499999999995</v>
      </c>
      <c r="K58" s="12">
        <f t="shared" si="2"/>
        <v>0.53489300542957519</v>
      </c>
      <c r="L58" s="12">
        <f t="shared" si="3"/>
        <v>0.45971377811744307</v>
      </c>
    </row>
    <row r="59" spans="1:12" hidden="1" x14ac:dyDescent="0.35">
      <c r="A59" s="2">
        <v>45707</v>
      </c>
      <c r="B59" s="3" t="s">
        <v>18</v>
      </c>
      <c r="C59" s="3" t="s">
        <v>21</v>
      </c>
      <c r="D59" s="3" t="s">
        <v>14</v>
      </c>
      <c r="E59" s="5">
        <v>191</v>
      </c>
      <c r="F59" s="8">
        <f>E59*72.18</f>
        <v>13786.380000000001</v>
      </c>
      <c r="G59" s="8">
        <f>E59*33.69</f>
        <v>6434.79</v>
      </c>
      <c r="H59" s="8">
        <v>2241.41</v>
      </c>
      <c r="I59" s="9">
        <f t="shared" si="4"/>
        <v>7351.5900000000011</v>
      </c>
      <c r="J59" s="9">
        <f t="shared" si="5"/>
        <v>5110.1800000000012</v>
      </c>
      <c r="K59" s="12">
        <f t="shared" si="2"/>
        <v>0.53325020781379884</v>
      </c>
      <c r="L59" s="12">
        <f t="shared" si="3"/>
        <v>0.37066873247364435</v>
      </c>
    </row>
    <row r="60" spans="1:12" hidden="1" x14ac:dyDescent="0.35">
      <c r="A60" s="2">
        <v>45726</v>
      </c>
      <c r="B60" s="3" t="s">
        <v>23</v>
      </c>
      <c r="C60" s="3" t="s">
        <v>13</v>
      </c>
      <c r="D60" s="3" t="s">
        <v>12</v>
      </c>
      <c r="E60" s="5">
        <v>465</v>
      </c>
      <c r="F60" s="8">
        <f>E60*29.45</f>
        <v>13694.25</v>
      </c>
      <c r="G60" s="8">
        <f>E60*14.38</f>
        <v>6686.7000000000007</v>
      </c>
      <c r="H60" s="8">
        <v>962.57</v>
      </c>
      <c r="I60" s="9">
        <f t="shared" si="4"/>
        <v>7007.5499999999993</v>
      </c>
      <c r="J60" s="9">
        <f t="shared" si="5"/>
        <v>6044.98</v>
      </c>
      <c r="K60" s="12">
        <f t="shared" si="2"/>
        <v>0.51171477079796257</v>
      </c>
      <c r="L60" s="12">
        <f t="shared" si="3"/>
        <v>0.44142468554320241</v>
      </c>
    </row>
    <row r="61" spans="1:12" x14ac:dyDescent="0.35">
      <c r="A61" s="2">
        <v>45695</v>
      </c>
      <c r="B61" s="3" t="s">
        <v>18</v>
      </c>
      <c r="C61" s="3" t="s">
        <v>17</v>
      </c>
      <c r="D61" s="3" t="s">
        <v>16</v>
      </c>
      <c r="E61" s="5">
        <v>269</v>
      </c>
      <c r="F61" s="8">
        <f>E61*50.8</f>
        <v>13665.199999999999</v>
      </c>
      <c r="G61" s="8">
        <f>E61*29.63</f>
        <v>7970.4699999999993</v>
      </c>
      <c r="H61" s="8">
        <v>2666.42</v>
      </c>
      <c r="I61" s="9">
        <f t="shared" si="4"/>
        <v>5694.73</v>
      </c>
      <c r="J61" s="9">
        <f t="shared" si="5"/>
        <v>3028.3099999999995</v>
      </c>
      <c r="K61" s="12">
        <f t="shared" si="2"/>
        <v>0.41673228346456692</v>
      </c>
      <c r="L61" s="12">
        <f t="shared" si="3"/>
        <v>0.22160744079852471</v>
      </c>
    </row>
    <row r="62" spans="1:12" hidden="1" x14ac:dyDescent="0.35">
      <c r="A62" s="2">
        <v>45744</v>
      </c>
      <c r="B62" s="3" t="s">
        <v>23</v>
      </c>
      <c r="C62" s="3" t="s">
        <v>21</v>
      </c>
      <c r="D62" s="3" t="s">
        <v>12</v>
      </c>
      <c r="E62" s="5">
        <v>155</v>
      </c>
      <c r="F62" s="8">
        <f>E62*84.59</f>
        <v>13111.45</v>
      </c>
      <c r="G62" s="8">
        <f>E62*42.99</f>
        <v>6663.4500000000007</v>
      </c>
      <c r="H62" s="8">
        <v>1138.53</v>
      </c>
      <c r="I62" s="9">
        <f t="shared" si="4"/>
        <v>6448</v>
      </c>
      <c r="J62" s="9">
        <f t="shared" si="5"/>
        <v>5309.47</v>
      </c>
      <c r="K62" s="12">
        <f t="shared" si="2"/>
        <v>0.49178389880600543</v>
      </c>
      <c r="L62" s="12">
        <f t="shared" si="3"/>
        <v>0.40494910936624096</v>
      </c>
    </row>
    <row r="63" spans="1:12" x14ac:dyDescent="0.35">
      <c r="A63" s="2">
        <v>45916</v>
      </c>
      <c r="B63" s="3" t="s">
        <v>32</v>
      </c>
      <c r="C63" s="3" t="s">
        <v>17</v>
      </c>
      <c r="D63" s="3" t="s">
        <v>19</v>
      </c>
      <c r="E63" s="5">
        <v>297</v>
      </c>
      <c r="F63" s="8">
        <f>E63*41.84</f>
        <v>12426.480000000001</v>
      </c>
      <c r="G63" s="8">
        <f>E63*21.44</f>
        <v>6367.68</v>
      </c>
      <c r="H63" s="8">
        <v>1725.84</v>
      </c>
      <c r="I63" s="9">
        <f t="shared" si="4"/>
        <v>6058.8000000000011</v>
      </c>
      <c r="J63" s="9">
        <f t="shared" si="5"/>
        <v>4332.9600000000009</v>
      </c>
      <c r="K63" s="12">
        <f t="shared" si="2"/>
        <v>0.48757170172084136</v>
      </c>
      <c r="L63" s="12">
        <f t="shared" si="3"/>
        <v>0.34868764123066232</v>
      </c>
    </row>
    <row r="64" spans="1:12" hidden="1" x14ac:dyDescent="0.35">
      <c r="A64" s="2">
        <v>45712</v>
      </c>
      <c r="B64" s="3" t="s">
        <v>18</v>
      </c>
      <c r="C64" s="3" t="s">
        <v>15</v>
      </c>
      <c r="D64" s="3" t="s">
        <v>16</v>
      </c>
      <c r="E64" s="5">
        <v>100</v>
      </c>
      <c r="F64" s="8">
        <f>E64*123.55</f>
        <v>12355</v>
      </c>
      <c r="G64" s="8">
        <f>E64*64.74</f>
        <v>6473.9999999999991</v>
      </c>
      <c r="H64" s="8">
        <v>1500.74</v>
      </c>
      <c r="I64" s="9">
        <f t="shared" si="4"/>
        <v>5881.0000000000009</v>
      </c>
      <c r="J64" s="9">
        <f t="shared" si="5"/>
        <v>4380.2600000000011</v>
      </c>
      <c r="K64" s="12">
        <f t="shared" si="2"/>
        <v>0.47600161877782282</v>
      </c>
      <c r="L64" s="12">
        <f t="shared" si="3"/>
        <v>0.3545333872925942</v>
      </c>
    </row>
    <row r="65" spans="1:12" hidden="1" x14ac:dyDescent="0.35">
      <c r="A65" s="2">
        <v>45967</v>
      </c>
      <c r="B65" s="3" t="s">
        <v>34</v>
      </c>
      <c r="C65" s="3" t="s">
        <v>20</v>
      </c>
      <c r="D65" s="3" t="s">
        <v>26</v>
      </c>
      <c r="E65" s="5">
        <v>114</v>
      </c>
      <c r="F65" s="8">
        <f>E65*107.81</f>
        <v>12290.34</v>
      </c>
      <c r="G65" s="8">
        <f>E65*60.72</f>
        <v>6922.08</v>
      </c>
      <c r="H65" s="8">
        <v>1615.15</v>
      </c>
      <c r="I65" s="9">
        <f t="shared" si="4"/>
        <v>5368.26</v>
      </c>
      <c r="J65" s="9">
        <f t="shared" si="5"/>
        <v>3753.11</v>
      </c>
      <c r="K65" s="12">
        <f t="shared" si="2"/>
        <v>0.43678693998701418</v>
      </c>
      <c r="L65" s="12">
        <f t="shared" si="3"/>
        <v>0.30537072204674565</v>
      </c>
    </row>
    <row r="66" spans="1:12" hidden="1" x14ac:dyDescent="0.35">
      <c r="A66" s="2">
        <v>45784</v>
      </c>
      <c r="B66" s="3" t="s">
        <v>28</v>
      </c>
      <c r="C66" s="3" t="s">
        <v>20</v>
      </c>
      <c r="D66" s="3" t="s">
        <v>19</v>
      </c>
      <c r="E66" s="5">
        <v>328</v>
      </c>
      <c r="F66" s="8">
        <f>E66*35.57</f>
        <v>11666.960000000001</v>
      </c>
      <c r="G66" s="8">
        <f>E66*13.57</f>
        <v>4450.96</v>
      </c>
      <c r="H66" s="8">
        <v>2074.48</v>
      </c>
      <c r="I66" s="9">
        <f t="shared" ref="I66:I101" si="6">F66-G66</f>
        <v>7216.0000000000009</v>
      </c>
      <c r="J66" s="9">
        <f t="shared" ref="J66:J97" si="7">I66-H66</f>
        <v>5141.5200000000004</v>
      </c>
      <c r="K66" s="12">
        <f t="shared" si="2"/>
        <v>0.61849873488895135</v>
      </c>
      <c r="L66" s="12">
        <f t="shared" si="3"/>
        <v>0.44069063406405784</v>
      </c>
    </row>
    <row r="67" spans="1:12" hidden="1" x14ac:dyDescent="0.35">
      <c r="A67" s="2">
        <v>45748</v>
      </c>
      <c r="B67" s="3" t="s">
        <v>25</v>
      </c>
      <c r="C67" s="3" t="s">
        <v>15</v>
      </c>
      <c r="D67" s="3" t="s">
        <v>19</v>
      </c>
      <c r="E67" s="5">
        <v>101</v>
      </c>
      <c r="F67" s="8">
        <f>E67*114.44</f>
        <v>11558.44</v>
      </c>
      <c r="G67" s="8">
        <f>E67*49.56</f>
        <v>5005.5600000000004</v>
      </c>
      <c r="H67" s="8">
        <v>2806.28</v>
      </c>
      <c r="I67" s="9">
        <f t="shared" si="6"/>
        <v>6552.88</v>
      </c>
      <c r="J67" s="9">
        <f t="shared" si="7"/>
        <v>3746.6</v>
      </c>
      <c r="K67" s="12">
        <f t="shared" ref="K67:K101" si="8">I67/F67</f>
        <v>0.5669346382383782</v>
      </c>
      <c r="L67" s="12">
        <f t="shared" ref="L67:L101" si="9">J67/F67</f>
        <v>0.32414408864864114</v>
      </c>
    </row>
    <row r="68" spans="1:12" x14ac:dyDescent="0.35">
      <c r="A68" s="2">
        <v>45937</v>
      </c>
      <c r="B68" s="3" t="s">
        <v>33</v>
      </c>
      <c r="C68" s="3" t="s">
        <v>17</v>
      </c>
      <c r="D68" s="3" t="s">
        <v>16</v>
      </c>
      <c r="E68" s="5">
        <v>259</v>
      </c>
      <c r="F68" s="8">
        <f>E68*44.62</f>
        <v>11556.58</v>
      </c>
      <c r="G68" s="8">
        <f>E68*20.48</f>
        <v>5304.32</v>
      </c>
      <c r="H68" s="8">
        <v>281.27</v>
      </c>
      <c r="I68" s="9">
        <f t="shared" si="6"/>
        <v>6252.26</v>
      </c>
      <c r="J68" s="9">
        <f t="shared" si="7"/>
        <v>5970.99</v>
      </c>
      <c r="K68" s="12">
        <f t="shared" si="8"/>
        <v>0.54101299865531149</v>
      </c>
      <c r="L68" s="12">
        <f t="shared" si="9"/>
        <v>0.51667448328138599</v>
      </c>
    </row>
    <row r="69" spans="1:12" hidden="1" x14ac:dyDescent="0.35">
      <c r="A69" s="2">
        <v>45904</v>
      </c>
      <c r="B69" s="3" t="s">
        <v>32</v>
      </c>
      <c r="C69" s="3" t="s">
        <v>20</v>
      </c>
      <c r="D69" s="3" t="s">
        <v>14</v>
      </c>
      <c r="E69" s="5">
        <v>472</v>
      </c>
      <c r="F69" s="8">
        <f>E69*22.92</f>
        <v>10818.240000000002</v>
      </c>
      <c r="G69" s="8">
        <f>E69*10.19</f>
        <v>4809.6799999999994</v>
      </c>
      <c r="H69" s="8">
        <v>2958.86</v>
      </c>
      <c r="I69" s="9">
        <f t="shared" si="6"/>
        <v>6008.5600000000022</v>
      </c>
      <c r="J69" s="9">
        <f t="shared" si="7"/>
        <v>3049.7000000000021</v>
      </c>
      <c r="K69" s="12">
        <f t="shared" si="8"/>
        <v>0.55541012216404895</v>
      </c>
      <c r="L69" s="12">
        <f t="shared" si="9"/>
        <v>0.28190352589700374</v>
      </c>
    </row>
    <row r="70" spans="1:12" hidden="1" x14ac:dyDescent="0.35">
      <c r="A70" s="2">
        <v>45698</v>
      </c>
      <c r="B70" s="3" t="s">
        <v>18</v>
      </c>
      <c r="C70" s="3" t="s">
        <v>20</v>
      </c>
      <c r="D70" s="3" t="s">
        <v>12</v>
      </c>
      <c r="E70" s="5">
        <v>204</v>
      </c>
      <c r="F70" s="8">
        <f>E70*52.53</f>
        <v>10716.12</v>
      </c>
      <c r="G70" s="8">
        <f>E70*26.73</f>
        <v>5452.92</v>
      </c>
      <c r="H70" s="8">
        <v>1221.53</v>
      </c>
      <c r="I70" s="9">
        <f t="shared" si="6"/>
        <v>5263.2000000000007</v>
      </c>
      <c r="J70" s="9">
        <f t="shared" si="7"/>
        <v>4041.670000000001</v>
      </c>
      <c r="K70" s="12">
        <f t="shared" si="8"/>
        <v>0.49114791547687037</v>
      </c>
      <c r="L70" s="12">
        <f t="shared" si="9"/>
        <v>0.37715796388991546</v>
      </c>
    </row>
    <row r="71" spans="1:12" hidden="1" x14ac:dyDescent="0.35">
      <c r="A71" s="2">
        <v>45724</v>
      </c>
      <c r="B71" s="3" t="s">
        <v>23</v>
      </c>
      <c r="C71" s="3" t="s">
        <v>21</v>
      </c>
      <c r="D71" s="3" t="s">
        <v>22</v>
      </c>
      <c r="E71" s="5">
        <v>92</v>
      </c>
      <c r="F71" s="8">
        <f>E71*115.07</f>
        <v>10586.439999999999</v>
      </c>
      <c r="G71" s="8">
        <f>E71*56.14</f>
        <v>5164.88</v>
      </c>
      <c r="H71" s="8">
        <v>1397.52</v>
      </c>
      <c r="I71" s="9">
        <f t="shared" si="6"/>
        <v>5421.5599999999986</v>
      </c>
      <c r="J71" s="9">
        <f t="shared" si="7"/>
        <v>4024.0399999999986</v>
      </c>
      <c r="K71" s="12">
        <f t="shared" si="8"/>
        <v>0.51212305553141557</v>
      </c>
      <c r="L71" s="12">
        <f t="shared" si="9"/>
        <v>0.38011267243757102</v>
      </c>
    </row>
    <row r="72" spans="1:12" hidden="1" x14ac:dyDescent="0.35">
      <c r="A72" s="2">
        <v>46014</v>
      </c>
      <c r="B72" s="3" t="s">
        <v>35</v>
      </c>
      <c r="C72" s="3" t="s">
        <v>15</v>
      </c>
      <c r="D72" s="3" t="s">
        <v>27</v>
      </c>
      <c r="E72" s="5">
        <v>214</v>
      </c>
      <c r="F72" s="8">
        <f>E72*47.94</f>
        <v>10259.16</v>
      </c>
      <c r="G72" s="8">
        <f>E72*24.64</f>
        <v>5272.96</v>
      </c>
      <c r="H72" s="8">
        <v>215.53</v>
      </c>
      <c r="I72" s="9">
        <f t="shared" si="6"/>
        <v>4986.2</v>
      </c>
      <c r="J72" s="9">
        <f t="shared" si="7"/>
        <v>4770.67</v>
      </c>
      <c r="K72" s="12">
        <f t="shared" si="8"/>
        <v>0.48602419691280768</v>
      </c>
      <c r="L72" s="12">
        <f t="shared" si="9"/>
        <v>0.46501565430308134</v>
      </c>
    </row>
    <row r="73" spans="1:12" hidden="1" x14ac:dyDescent="0.35">
      <c r="A73" s="2">
        <v>46003</v>
      </c>
      <c r="B73" s="3" t="s">
        <v>35</v>
      </c>
      <c r="C73" s="3" t="s">
        <v>20</v>
      </c>
      <c r="D73" s="3" t="s">
        <v>14</v>
      </c>
      <c r="E73" s="5">
        <v>71</v>
      </c>
      <c r="F73" s="8">
        <f>E73*142.12</f>
        <v>10090.52</v>
      </c>
      <c r="G73" s="8">
        <f>E73*69.98</f>
        <v>4968.58</v>
      </c>
      <c r="H73" s="8">
        <v>1820.97</v>
      </c>
      <c r="I73" s="9">
        <f t="shared" si="6"/>
        <v>5121.9400000000005</v>
      </c>
      <c r="J73" s="9">
        <f t="shared" si="7"/>
        <v>3300.9700000000003</v>
      </c>
      <c r="K73" s="12">
        <f t="shared" si="8"/>
        <v>0.50759921193357727</v>
      </c>
      <c r="L73" s="12">
        <f t="shared" si="9"/>
        <v>0.32713576703678304</v>
      </c>
    </row>
    <row r="74" spans="1:12" hidden="1" x14ac:dyDescent="0.35">
      <c r="A74" s="2">
        <v>45825</v>
      </c>
      <c r="B74" s="3" t="s">
        <v>29</v>
      </c>
      <c r="C74" s="3" t="s">
        <v>15</v>
      </c>
      <c r="D74" s="3" t="s">
        <v>22</v>
      </c>
      <c r="E74" s="5">
        <v>293</v>
      </c>
      <c r="F74" s="8">
        <f>E74*32.18</f>
        <v>9428.74</v>
      </c>
      <c r="G74" s="8">
        <f>E74*14.65</f>
        <v>4292.45</v>
      </c>
      <c r="H74" s="8">
        <v>2833.02</v>
      </c>
      <c r="I74" s="9">
        <f t="shared" si="6"/>
        <v>5136.29</v>
      </c>
      <c r="J74" s="9">
        <f t="shared" si="7"/>
        <v>2303.27</v>
      </c>
      <c r="K74" s="12">
        <f t="shared" si="8"/>
        <v>0.54474829086389065</v>
      </c>
      <c r="L74" s="12">
        <f t="shared" si="9"/>
        <v>0.24428184465792885</v>
      </c>
    </row>
    <row r="75" spans="1:12" hidden="1" x14ac:dyDescent="0.35">
      <c r="A75" s="2">
        <v>45974</v>
      </c>
      <c r="B75" s="3" t="s">
        <v>34</v>
      </c>
      <c r="C75" s="3" t="s">
        <v>13</v>
      </c>
      <c r="D75" s="3" t="s">
        <v>16</v>
      </c>
      <c r="E75" s="5">
        <v>370</v>
      </c>
      <c r="F75" s="8">
        <f>E75*24.39</f>
        <v>9024.3000000000011</v>
      </c>
      <c r="G75" s="8">
        <f>E75*12.57</f>
        <v>4650.9000000000005</v>
      </c>
      <c r="H75" s="8">
        <v>2364.59</v>
      </c>
      <c r="I75" s="9">
        <f t="shared" si="6"/>
        <v>4373.4000000000005</v>
      </c>
      <c r="J75" s="9">
        <f t="shared" si="7"/>
        <v>2008.8100000000004</v>
      </c>
      <c r="K75" s="12">
        <f t="shared" si="8"/>
        <v>0.48462484624846247</v>
      </c>
      <c r="L75" s="12">
        <f t="shared" si="9"/>
        <v>0.22260009086577354</v>
      </c>
    </row>
    <row r="76" spans="1:12" hidden="1" x14ac:dyDescent="0.35">
      <c r="A76" s="2">
        <v>45943</v>
      </c>
      <c r="B76" s="3" t="s">
        <v>33</v>
      </c>
      <c r="C76" s="3" t="s">
        <v>20</v>
      </c>
      <c r="D76" s="3" t="s">
        <v>12</v>
      </c>
      <c r="E76" s="5">
        <v>243</v>
      </c>
      <c r="F76" s="8">
        <f>E76*33</f>
        <v>8019</v>
      </c>
      <c r="G76" s="8">
        <f>E76*15.38</f>
        <v>3737.34</v>
      </c>
      <c r="H76" s="8">
        <v>1687.17</v>
      </c>
      <c r="I76" s="9">
        <f t="shared" si="6"/>
        <v>4281.66</v>
      </c>
      <c r="J76" s="9">
        <f t="shared" si="7"/>
        <v>2594.4899999999998</v>
      </c>
      <c r="K76" s="12">
        <f t="shared" si="8"/>
        <v>0.53393939393939394</v>
      </c>
      <c r="L76" s="12">
        <f t="shared" si="9"/>
        <v>0.32354283576505793</v>
      </c>
    </row>
    <row r="77" spans="1:12" hidden="1" x14ac:dyDescent="0.35">
      <c r="A77" s="2">
        <v>45906</v>
      </c>
      <c r="B77" s="3" t="s">
        <v>32</v>
      </c>
      <c r="C77" s="3" t="s">
        <v>11</v>
      </c>
      <c r="D77" s="3" t="s">
        <v>24</v>
      </c>
      <c r="E77" s="5">
        <v>75</v>
      </c>
      <c r="F77" s="8">
        <f>E77*104.07</f>
        <v>7805.2499999999991</v>
      </c>
      <c r="G77" s="8">
        <f>E77*61.06</f>
        <v>4579.5</v>
      </c>
      <c r="H77" s="8">
        <v>662.36</v>
      </c>
      <c r="I77" s="9">
        <f t="shared" si="6"/>
        <v>3225.7499999999991</v>
      </c>
      <c r="J77" s="9">
        <f t="shared" si="7"/>
        <v>2563.389999999999</v>
      </c>
      <c r="K77" s="12">
        <f t="shared" si="8"/>
        <v>0.41327952339771301</v>
      </c>
      <c r="L77" s="12">
        <f t="shared" si="9"/>
        <v>0.32841869254668321</v>
      </c>
    </row>
    <row r="78" spans="1:12" hidden="1" x14ac:dyDescent="0.35">
      <c r="A78" s="2">
        <v>45739</v>
      </c>
      <c r="B78" s="3" t="s">
        <v>23</v>
      </c>
      <c r="C78" s="3" t="s">
        <v>21</v>
      </c>
      <c r="D78" s="3" t="s">
        <v>14</v>
      </c>
      <c r="E78" s="5">
        <v>315</v>
      </c>
      <c r="F78" s="8">
        <f>E78*23.58</f>
        <v>7427.7</v>
      </c>
      <c r="G78" s="8">
        <f>E78*10.5</f>
        <v>3307.5</v>
      </c>
      <c r="H78" s="8">
        <v>2989.14</v>
      </c>
      <c r="I78" s="9">
        <f t="shared" si="6"/>
        <v>4120.2</v>
      </c>
      <c r="J78" s="9">
        <f t="shared" si="7"/>
        <v>1131.06</v>
      </c>
      <c r="K78" s="12">
        <f t="shared" si="8"/>
        <v>0.55470737913486001</v>
      </c>
      <c r="L78" s="12">
        <f t="shared" si="9"/>
        <v>0.15227594006219961</v>
      </c>
    </row>
    <row r="79" spans="1:12" x14ac:dyDescent="0.35">
      <c r="A79" s="2">
        <v>45847</v>
      </c>
      <c r="B79" s="3" t="s">
        <v>30</v>
      </c>
      <c r="C79" s="3" t="s">
        <v>17</v>
      </c>
      <c r="D79" s="3" t="s">
        <v>24</v>
      </c>
      <c r="E79" s="5">
        <v>230</v>
      </c>
      <c r="F79" s="8">
        <f>E79*32.21</f>
        <v>7408.3</v>
      </c>
      <c r="G79" s="8">
        <f>E79*13.76</f>
        <v>3164.7999999999997</v>
      </c>
      <c r="H79" s="8">
        <v>2717.15</v>
      </c>
      <c r="I79" s="9">
        <f t="shared" si="6"/>
        <v>4243.5</v>
      </c>
      <c r="J79" s="9">
        <f t="shared" si="7"/>
        <v>1526.35</v>
      </c>
      <c r="K79" s="12">
        <f t="shared" si="8"/>
        <v>0.57280347718099967</v>
      </c>
      <c r="L79" s="12">
        <f t="shared" si="9"/>
        <v>0.20603242309301728</v>
      </c>
    </row>
    <row r="80" spans="1:12" hidden="1" x14ac:dyDescent="0.35">
      <c r="A80" s="2">
        <v>45929</v>
      </c>
      <c r="B80" s="3" t="s">
        <v>32</v>
      </c>
      <c r="C80" s="3" t="s">
        <v>20</v>
      </c>
      <c r="D80" s="3" t="s">
        <v>19</v>
      </c>
      <c r="E80" s="5">
        <v>270</v>
      </c>
      <c r="F80" s="8">
        <f>E80*25.82</f>
        <v>6971.4</v>
      </c>
      <c r="G80" s="8">
        <f>E80*10.24</f>
        <v>2764.8</v>
      </c>
      <c r="H80" s="8">
        <v>1866.1</v>
      </c>
      <c r="I80" s="9">
        <f t="shared" si="6"/>
        <v>4206.5999999999995</v>
      </c>
      <c r="J80" s="9">
        <f t="shared" si="7"/>
        <v>2340.4999999999995</v>
      </c>
      <c r="K80" s="12">
        <f t="shared" si="8"/>
        <v>0.60340821068938799</v>
      </c>
      <c r="L80" s="12">
        <f t="shared" si="9"/>
        <v>0.33572883495424155</v>
      </c>
    </row>
    <row r="81" spans="1:12" hidden="1" x14ac:dyDescent="0.35">
      <c r="A81" s="2">
        <v>45883</v>
      </c>
      <c r="B81" s="3" t="s">
        <v>31</v>
      </c>
      <c r="C81" s="3" t="s">
        <v>11</v>
      </c>
      <c r="D81" s="3" t="s">
        <v>22</v>
      </c>
      <c r="E81" s="5">
        <v>130</v>
      </c>
      <c r="F81" s="8">
        <f>E81*51.68</f>
        <v>6718.4</v>
      </c>
      <c r="G81" s="8">
        <f>E81*22.22</f>
        <v>2888.6</v>
      </c>
      <c r="H81" s="8">
        <v>1712.43</v>
      </c>
      <c r="I81" s="9">
        <f t="shared" si="6"/>
        <v>3829.7999999999997</v>
      </c>
      <c r="J81" s="9">
        <f t="shared" si="7"/>
        <v>2117.37</v>
      </c>
      <c r="K81" s="12">
        <f t="shared" si="8"/>
        <v>0.570046439628483</v>
      </c>
      <c r="L81" s="12">
        <f t="shared" si="9"/>
        <v>0.31515985949035485</v>
      </c>
    </row>
    <row r="82" spans="1:12" hidden="1" x14ac:dyDescent="0.35">
      <c r="A82" s="2">
        <v>45791</v>
      </c>
      <c r="B82" s="3" t="s">
        <v>28</v>
      </c>
      <c r="C82" s="3" t="s">
        <v>20</v>
      </c>
      <c r="D82" s="3" t="s">
        <v>26</v>
      </c>
      <c r="E82" s="5">
        <v>132</v>
      </c>
      <c r="F82" s="8">
        <f>E82*50.86</f>
        <v>6713.5199999999995</v>
      </c>
      <c r="G82" s="8">
        <f>E82*19.47</f>
        <v>2570.04</v>
      </c>
      <c r="H82" s="8">
        <v>2007.4</v>
      </c>
      <c r="I82" s="9">
        <f t="shared" si="6"/>
        <v>4143.4799999999996</v>
      </c>
      <c r="J82" s="9">
        <f t="shared" si="7"/>
        <v>2136.0799999999995</v>
      </c>
      <c r="K82" s="12">
        <f t="shared" si="8"/>
        <v>0.61718442784113248</v>
      </c>
      <c r="L82" s="12">
        <f t="shared" si="9"/>
        <v>0.31817586005552967</v>
      </c>
    </row>
    <row r="83" spans="1:12" hidden="1" x14ac:dyDescent="0.35">
      <c r="A83" s="2">
        <v>45783</v>
      </c>
      <c r="B83" s="3" t="s">
        <v>28</v>
      </c>
      <c r="C83" s="3" t="s">
        <v>13</v>
      </c>
      <c r="D83" s="3" t="s">
        <v>22</v>
      </c>
      <c r="E83" s="5">
        <v>90</v>
      </c>
      <c r="F83" s="8">
        <f>E83*74.15</f>
        <v>6673.5000000000009</v>
      </c>
      <c r="G83" s="8">
        <f>E83*36.02</f>
        <v>3241.8</v>
      </c>
      <c r="H83" s="8">
        <v>1047.05</v>
      </c>
      <c r="I83" s="9">
        <f t="shared" si="6"/>
        <v>3431.7000000000007</v>
      </c>
      <c r="J83" s="9">
        <f t="shared" si="7"/>
        <v>2384.6500000000005</v>
      </c>
      <c r="K83" s="12">
        <f t="shared" si="8"/>
        <v>0.51422791638570464</v>
      </c>
      <c r="L83" s="12">
        <f t="shared" si="9"/>
        <v>0.35733123548362933</v>
      </c>
    </row>
    <row r="84" spans="1:12" hidden="1" x14ac:dyDescent="0.35">
      <c r="A84" s="2">
        <v>45770</v>
      </c>
      <c r="B84" s="3" t="s">
        <v>25</v>
      </c>
      <c r="C84" s="3" t="s">
        <v>20</v>
      </c>
      <c r="D84" s="3" t="s">
        <v>27</v>
      </c>
      <c r="E84" s="5">
        <v>56</v>
      </c>
      <c r="F84" s="8">
        <f>E84*117.03</f>
        <v>6553.68</v>
      </c>
      <c r="G84" s="8">
        <f>E84*66.15</f>
        <v>3704.4000000000005</v>
      </c>
      <c r="H84" s="8">
        <v>627.96</v>
      </c>
      <c r="I84" s="9">
        <f t="shared" si="6"/>
        <v>2849.2799999999997</v>
      </c>
      <c r="J84" s="9">
        <f t="shared" si="7"/>
        <v>2221.3199999999997</v>
      </c>
      <c r="K84" s="12">
        <f t="shared" si="8"/>
        <v>0.43476031786721347</v>
      </c>
      <c r="L84" s="12">
        <f t="shared" si="9"/>
        <v>0.3389423957227084</v>
      </c>
    </row>
    <row r="85" spans="1:12" hidden="1" x14ac:dyDescent="0.35">
      <c r="A85" s="2">
        <v>45716</v>
      </c>
      <c r="B85" s="3" t="s">
        <v>18</v>
      </c>
      <c r="C85" s="3" t="s">
        <v>20</v>
      </c>
      <c r="D85" s="3" t="s">
        <v>22</v>
      </c>
      <c r="E85" s="5">
        <v>65</v>
      </c>
      <c r="F85" s="8">
        <f>E85*93.12</f>
        <v>6052.8</v>
      </c>
      <c r="G85" s="8">
        <f>E85*54.22</f>
        <v>3524.2999999999997</v>
      </c>
      <c r="H85" s="8">
        <v>1812.23</v>
      </c>
      <c r="I85" s="9">
        <f t="shared" si="6"/>
        <v>2528.5000000000005</v>
      </c>
      <c r="J85" s="9">
        <f t="shared" si="7"/>
        <v>716.27000000000044</v>
      </c>
      <c r="K85" s="12">
        <f t="shared" si="8"/>
        <v>0.41774054982817876</v>
      </c>
      <c r="L85" s="12">
        <f t="shared" si="9"/>
        <v>0.11833696801480313</v>
      </c>
    </row>
    <row r="86" spans="1:12" x14ac:dyDescent="0.35">
      <c r="A86" s="2">
        <v>45985</v>
      </c>
      <c r="B86" s="3" t="s">
        <v>34</v>
      </c>
      <c r="C86" s="3" t="s">
        <v>17</v>
      </c>
      <c r="D86" s="3" t="s">
        <v>16</v>
      </c>
      <c r="E86" s="5">
        <v>88</v>
      </c>
      <c r="F86" s="8">
        <f>E86*65.48</f>
        <v>5762.2400000000007</v>
      </c>
      <c r="G86" s="8">
        <f>E86*25.56</f>
        <v>2249.2799999999997</v>
      </c>
      <c r="H86" s="8">
        <v>2869.8</v>
      </c>
      <c r="I86" s="9">
        <f t="shared" si="6"/>
        <v>3512.9600000000009</v>
      </c>
      <c r="J86" s="9">
        <f t="shared" si="7"/>
        <v>643.16000000000076</v>
      </c>
      <c r="K86" s="12">
        <f t="shared" si="8"/>
        <v>0.60965180207697012</v>
      </c>
      <c r="L86" s="12">
        <f t="shared" si="9"/>
        <v>0.11161631587715901</v>
      </c>
    </row>
    <row r="87" spans="1:12" hidden="1" x14ac:dyDescent="0.35">
      <c r="A87" s="2">
        <v>46000</v>
      </c>
      <c r="B87" s="3" t="s">
        <v>35</v>
      </c>
      <c r="C87" s="3" t="s">
        <v>21</v>
      </c>
      <c r="D87" s="3" t="s">
        <v>16</v>
      </c>
      <c r="E87" s="5">
        <v>146</v>
      </c>
      <c r="F87" s="8">
        <f>E87*36.49</f>
        <v>5327.54</v>
      </c>
      <c r="G87" s="8">
        <f>E87*19.17</f>
        <v>2798.82</v>
      </c>
      <c r="H87" s="8">
        <v>1271.1199999999999</v>
      </c>
      <c r="I87" s="9">
        <f t="shared" si="6"/>
        <v>2528.7199999999998</v>
      </c>
      <c r="J87" s="9">
        <f t="shared" si="7"/>
        <v>1257.5999999999999</v>
      </c>
      <c r="K87" s="12">
        <f t="shared" si="8"/>
        <v>0.47465058920252118</v>
      </c>
      <c r="L87" s="12">
        <f t="shared" si="9"/>
        <v>0.23605641628218652</v>
      </c>
    </row>
    <row r="88" spans="1:12" hidden="1" x14ac:dyDescent="0.35">
      <c r="A88" s="2">
        <v>45866</v>
      </c>
      <c r="B88" s="3" t="s">
        <v>30</v>
      </c>
      <c r="C88" s="3" t="s">
        <v>13</v>
      </c>
      <c r="D88" s="3" t="s">
        <v>27</v>
      </c>
      <c r="E88" s="5">
        <v>222</v>
      </c>
      <c r="F88" s="8">
        <f>E88*23.41</f>
        <v>5197.0200000000004</v>
      </c>
      <c r="G88" s="8">
        <f>E88*13.07</f>
        <v>2901.54</v>
      </c>
      <c r="H88" s="8">
        <v>1290.54</v>
      </c>
      <c r="I88" s="9">
        <f t="shared" si="6"/>
        <v>2295.4800000000005</v>
      </c>
      <c r="J88" s="9">
        <f t="shared" si="7"/>
        <v>1004.9400000000005</v>
      </c>
      <c r="K88" s="12">
        <f t="shared" si="8"/>
        <v>0.44169158479282361</v>
      </c>
      <c r="L88" s="12">
        <f t="shared" si="9"/>
        <v>0.19336850733689701</v>
      </c>
    </row>
    <row r="89" spans="1:12" hidden="1" x14ac:dyDescent="0.35">
      <c r="A89" s="2">
        <v>45929</v>
      </c>
      <c r="B89" s="3" t="s">
        <v>32</v>
      </c>
      <c r="C89" s="3" t="s">
        <v>11</v>
      </c>
      <c r="D89" s="3" t="s">
        <v>26</v>
      </c>
      <c r="E89" s="5">
        <v>260</v>
      </c>
      <c r="F89" s="8">
        <f>E89*17.63</f>
        <v>4583.8</v>
      </c>
      <c r="G89" s="8">
        <f>E89*10.27</f>
        <v>2670.2</v>
      </c>
      <c r="H89" s="8">
        <v>2660.42</v>
      </c>
      <c r="I89" s="9">
        <f t="shared" si="6"/>
        <v>1913.6000000000004</v>
      </c>
      <c r="J89" s="9">
        <f t="shared" si="7"/>
        <v>-746.81999999999971</v>
      </c>
      <c r="K89" s="12">
        <f t="shared" si="8"/>
        <v>0.41747022121384009</v>
      </c>
      <c r="L89" s="12">
        <f t="shared" si="9"/>
        <v>-0.16292595662987033</v>
      </c>
    </row>
    <row r="90" spans="1:12" hidden="1" x14ac:dyDescent="0.35">
      <c r="A90" s="2">
        <v>45850</v>
      </c>
      <c r="B90" s="3" t="s">
        <v>30</v>
      </c>
      <c r="C90" s="3" t="s">
        <v>15</v>
      </c>
      <c r="D90" s="3" t="s">
        <v>16</v>
      </c>
      <c r="E90" s="5">
        <v>48</v>
      </c>
      <c r="F90" s="8">
        <f>E90*94.93</f>
        <v>4556.6400000000003</v>
      </c>
      <c r="G90" s="8">
        <f>E90*52.94</f>
        <v>2541.12</v>
      </c>
      <c r="H90" s="8">
        <v>879.98</v>
      </c>
      <c r="I90" s="9">
        <f t="shared" si="6"/>
        <v>2015.5200000000004</v>
      </c>
      <c r="J90" s="9">
        <f t="shared" si="7"/>
        <v>1135.5400000000004</v>
      </c>
      <c r="K90" s="12">
        <f t="shared" si="8"/>
        <v>0.44232592436532187</v>
      </c>
      <c r="L90" s="12">
        <f t="shared" si="9"/>
        <v>0.24920555497032909</v>
      </c>
    </row>
    <row r="91" spans="1:12" hidden="1" x14ac:dyDescent="0.35">
      <c r="A91" s="2">
        <v>45873</v>
      </c>
      <c r="B91" s="3" t="s">
        <v>31</v>
      </c>
      <c r="C91" s="3" t="s">
        <v>13</v>
      </c>
      <c r="D91" s="3" t="s">
        <v>12</v>
      </c>
      <c r="E91" s="5">
        <v>250</v>
      </c>
      <c r="F91" s="8">
        <f>E91*17.62</f>
        <v>4405</v>
      </c>
      <c r="G91" s="8">
        <f>E91*8.54</f>
        <v>2135</v>
      </c>
      <c r="H91" s="8">
        <v>2999.74</v>
      </c>
      <c r="I91" s="9">
        <f t="shared" si="6"/>
        <v>2270</v>
      </c>
      <c r="J91" s="9">
        <f t="shared" si="7"/>
        <v>-729.73999999999978</v>
      </c>
      <c r="K91" s="12">
        <f t="shared" si="8"/>
        <v>0.51532349602724181</v>
      </c>
      <c r="L91" s="12">
        <f t="shared" si="9"/>
        <v>-0.16566174801362082</v>
      </c>
    </row>
    <row r="92" spans="1:12" hidden="1" x14ac:dyDescent="0.35">
      <c r="A92" s="2">
        <v>45874</v>
      </c>
      <c r="B92" s="3" t="s">
        <v>31</v>
      </c>
      <c r="C92" s="3" t="s">
        <v>13</v>
      </c>
      <c r="D92" s="3" t="s">
        <v>22</v>
      </c>
      <c r="E92" s="5">
        <v>89</v>
      </c>
      <c r="F92" s="8">
        <f>E92*44.07</f>
        <v>3922.23</v>
      </c>
      <c r="G92" s="8">
        <f>E92*23.84</f>
        <v>2121.7599999999998</v>
      </c>
      <c r="H92" s="8">
        <v>486.19</v>
      </c>
      <c r="I92" s="9">
        <f t="shared" si="6"/>
        <v>1800.4700000000003</v>
      </c>
      <c r="J92" s="9">
        <f t="shared" si="7"/>
        <v>1314.2800000000002</v>
      </c>
      <c r="K92" s="12">
        <f t="shared" si="8"/>
        <v>0.45904243249375998</v>
      </c>
      <c r="L92" s="12">
        <f t="shared" si="9"/>
        <v>0.33508488793365004</v>
      </c>
    </row>
    <row r="93" spans="1:12" hidden="1" x14ac:dyDescent="0.35">
      <c r="A93" s="2">
        <v>45877</v>
      </c>
      <c r="B93" s="3" t="s">
        <v>31</v>
      </c>
      <c r="C93" s="3" t="s">
        <v>21</v>
      </c>
      <c r="D93" s="3" t="s">
        <v>26</v>
      </c>
      <c r="E93" s="5">
        <v>45</v>
      </c>
      <c r="F93" s="8">
        <f>E93*83.3</f>
        <v>3748.5</v>
      </c>
      <c r="G93" s="8">
        <f>E93*36.26</f>
        <v>1631.6999999999998</v>
      </c>
      <c r="H93" s="8">
        <v>2578.81</v>
      </c>
      <c r="I93" s="9">
        <f t="shared" si="6"/>
        <v>2116.8000000000002</v>
      </c>
      <c r="J93" s="9">
        <f t="shared" si="7"/>
        <v>-462.00999999999976</v>
      </c>
      <c r="K93" s="12">
        <f t="shared" si="8"/>
        <v>0.56470588235294128</v>
      </c>
      <c r="L93" s="12">
        <f t="shared" si="9"/>
        <v>-0.12325196745364807</v>
      </c>
    </row>
    <row r="94" spans="1:12" hidden="1" x14ac:dyDescent="0.35">
      <c r="A94" s="2">
        <v>45794</v>
      </c>
      <c r="B94" s="3" t="s">
        <v>28</v>
      </c>
      <c r="C94" s="3" t="s">
        <v>21</v>
      </c>
      <c r="D94" s="3" t="s">
        <v>26</v>
      </c>
      <c r="E94" s="5">
        <v>67</v>
      </c>
      <c r="F94" s="8">
        <f>E94*54.62</f>
        <v>3659.54</v>
      </c>
      <c r="G94" s="8">
        <f>E94*21.28</f>
        <v>1425.76</v>
      </c>
      <c r="H94" s="8">
        <v>209.09</v>
      </c>
      <c r="I94" s="9">
        <f t="shared" si="6"/>
        <v>2233.7799999999997</v>
      </c>
      <c r="J94" s="9">
        <f t="shared" si="7"/>
        <v>2024.6899999999998</v>
      </c>
      <c r="K94" s="12">
        <f t="shared" si="8"/>
        <v>0.61039912120102524</v>
      </c>
      <c r="L94" s="12">
        <f t="shared" si="9"/>
        <v>0.55326352492389752</v>
      </c>
    </row>
    <row r="95" spans="1:12" hidden="1" x14ac:dyDescent="0.35">
      <c r="A95" s="2">
        <v>45996</v>
      </c>
      <c r="B95" s="3" t="s">
        <v>35</v>
      </c>
      <c r="C95" s="3" t="s">
        <v>21</v>
      </c>
      <c r="D95" s="3" t="s">
        <v>27</v>
      </c>
      <c r="E95" s="5">
        <v>89</v>
      </c>
      <c r="F95" s="8">
        <f>E95*40.64</f>
        <v>3616.96</v>
      </c>
      <c r="G95" s="8">
        <f>E95*16.44</f>
        <v>1463.16</v>
      </c>
      <c r="H95" s="8">
        <v>363.75</v>
      </c>
      <c r="I95" s="9">
        <f t="shared" si="6"/>
        <v>2153.8000000000002</v>
      </c>
      <c r="J95" s="9">
        <f t="shared" si="7"/>
        <v>1790.0500000000002</v>
      </c>
      <c r="K95" s="12">
        <f t="shared" si="8"/>
        <v>0.59547244094488194</v>
      </c>
      <c r="L95" s="12">
        <f t="shared" si="9"/>
        <v>0.4949045607360878</v>
      </c>
    </row>
    <row r="96" spans="1:12" hidden="1" x14ac:dyDescent="0.35">
      <c r="A96" s="2">
        <v>45953</v>
      </c>
      <c r="B96" s="3" t="s">
        <v>33</v>
      </c>
      <c r="C96" s="3" t="s">
        <v>20</v>
      </c>
      <c r="D96" s="3" t="s">
        <v>22</v>
      </c>
      <c r="E96" s="5">
        <v>32</v>
      </c>
      <c r="F96" s="8">
        <f>E96*110.69</f>
        <v>3542.08</v>
      </c>
      <c r="G96" s="8">
        <f>E96*38.79</f>
        <v>1241.28</v>
      </c>
      <c r="H96" s="8">
        <v>2791.61</v>
      </c>
      <c r="I96" s="9">
        <f t="shared" si="6"/>
        <v>2300.8000000000002</v>
      </c>
      <c r="J96" s="9">
        <f t="shared" si="7"/>
        <v>-490.80999999999995</v>
      </c>
      <c r="K96" s="12">
        <f t="shared" si="8"/>
        <v>0.64956183937121703</v>
      </c>
      <c r="L96" s="12">
        <f t="shared" si="9"/>
        <v>-0.13856547565272381</v>
      </c>
    </row>
    <row r="97" spans="1:12" hidden="1" x14ac:dyDescent="0.35">
      <c r="A97" s="2">
        <v>45674</v>
      </c>
      <c r="B97" s="3" t="s">
        <v>10</v>
      </c>
      <c r="C97" s="3" t="s">
        <v>13</v>
      </c>
      <c r="D97" s="3" t="s">
        <v>14</v>
      </c>
      <c r="E97" s="5">
        <v>147</v>
      </c>
      <c r="F97" s="8">
        <f>E97*23.94</f>
        <v>3519.1800000000003</v>
      </c>
      <c r="G97" s="8">
        <f>E97*13.84</f>
        <v>2034.48</v>
      </c>
      <c r="H97" s="8">
        <v>1788.1</v>
      </c>
      <c r="I97" s="9">
        <f t="shared" si="6"/>
        <v>1484.7000000000003</v>
      </c>
      <c r="J97" s="9">
        <f t="shared" si="7"/>
        <v>-303.39999999999964</v>
      </c>
      <c r="K97" s="12">
        <f t="shared" si="8"/>
        <v>0.42188805346700087</v>
      </c>
      <c r="L97" s="12">
        <f t="shared" si="9"/>
        <v>-8.6213265590279448E-2</v>
      </c>
    </row>
    <row r="98" spans="1:12" hidden="1" x14ac:dyDescent="0.35">
      <c r="A98" s="2">
        <v>46020</v>
      </c>
      <c r="B98" s="3" t="s">
        <v>35</v>
      </c>
      <c r="C98" s="3" t="s">
        <v>21</v>
      </c>
      <c r="D98" s="3" t="s">
        <v>19</v>
      </c>
      <c r="E98" s="5">
        <v>127</v>
      </c>
      <c r="F98" s="8">
        <f>E98*24.1</f>
        <v>3060.7000000000003</v>
      </c>
      <c r="G98" s="8">
        <f>E98*8.62</f>
        <v>1094.74</v>
      </c>
      <c r="H98" s="8">
        <v>1125.2</v>
      </c>
      <c r="I98" s="9">
        <f t="shared" si="6"/>
        <v>1965.9600000000003</v>
      </c>
      <c r="J98" s="9">
        <f t="shared" ref="J98:J101" si="10">I98-H98</f>
        <v>840.76000000000022</v>
      </c>
      <c r="K98" s="12">
        <f t="shared" si="8"/>
        <v>0.64232365145228221</v>
      </c>
      <c r="L98" s="12">
        <f t="shared" si="9"/>
        <v>0.27469533113340089</v>
      </c>
    </row>
    <row r="99" spans="1:12" hidden="1" x14ac:dyDescent="0.35">
      <c r="A99" s="2">
        <v>46002</v>
      </c>
      <c r="B99" s="3" t="s">
        <v>35</v>
      </c>
      <c r="C99" s="3" t="s">
        <v>21</v>
      </c>
      <c r="D99" s="3" t="s">
        <v>12</v>
      </c>
      <c r="E99" s="5">
        <v>41</v>
      </c>
      <c r="F99" s="8">
        <f>E99*69.35</f>
        <v>2843.35</v>
      </c>
      <c r="G99" s="8">
        <f>E99*30.16</f>
        <v>1236.56</v>
      </c>
      <c r="H99" s="8">
        <v>2612.6799999999998</v>
      </c>
      <c r="I99" s="9">
        <f t="shared" si="6"/>
        <v>1606.79</v>
      </c>
      <c r="J99" s="9">
        <f t="shared" si="10"/>
        <v>-1005.8899999999999</v>
      </c>
      <c r="K99" s="12">
        <f t="shared" si="8"/>
        <v>0.56510454217736117</v>
      </c>
      <c r="L99" s="12">
        <f t="shared" si="9"/>
        <v>-0.35376932139905393</v>
      </c>
    </row>
    <row r="100" spans="1:12" hidden="1" x14ac:dyDescent="0.35">
      <c r="A100" s="2">
        <v>45892</v>
      </c>
      <c r="B100" s="3" t="s">
        <v>31</v>
      </c>
      <c r="C100" s="3" t="s">
        <v>13</v>
      </c>
      <c r="D100" s="3" t="s">
        <v>12</v>
      </c>
      <c r="E100" s="5">
        <v>14</v>
      </c>
      <c r="F100" s="8">
        <f>E100*76.87</f>
        <v>1076.18</v>
      </c>
      <c r="G100" s="8">
        <f>E100*46.09</f>
        <v>645.26</v>
      </c>
      <c r="H100" s="8">
        <v>2989.07</v>
      </c>
      <c r="I100" s="9">
        <f t="shared" si="6"/>
        <v>430.92000000000007</v>
      </c>
      <c r="J100" s="9">
        <f t="shared" si="10"/>
        <v>-2558.15</v>
      </c>
      <c r="K100" s="12">
        <f t="shared" si="8"/>
        <v>0.40041628723819439</v>
      </c>
      <c r="L100" s="12">
        <f t="shared" si="9"/>
        <v>-2.3770651749707299</v>
      </c>
    </row>
    <row r="101" spans="1:12" hidden="1" x14ac:dyDescent="0.35">
      <c r="A101" s="2">
        <v>45935</v>
      </c>
      <c r="B101" s="3" t="s">
        <v>33</v>
      </c>
      <c r="C101" s="3" t="s">
        <v>11</v>
      </c>
      <c r="D101" s="3" t="s">
        <v>26</v>
      </c>
      <c r="E101" s="5">
        <v>39</v>
      </c>
      <c r="F101" s="8">
        <f>E101*21.77</f>
        <v>849.03</v>
      </c>
      <c r="G101" s="8">
        <f>E101*10.21</f>
        <v>398.19000000000005</v>
      </c>
      <c r="H101" s="8">
        <v>2774.28</v>
      </c>
      <c r="I101" s="9">
        <f t="shared" si="6"/>
        <v>450.83999999999992</v>
      </c>
      <c r="J101" s="9">
        <f t="shared" si="10"/>
        <v>-2323.4400000000005</v>
      </c>
      <c r="K101" s="12">
        <f t="shared" si="8"/>
        <v>0.53100597152044093</v>
      </c>
      <c r="L101" s="12">
        <f t="shared" si="9"/>
        <v>-2.7365817462280493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C730-9171-4681-A982-0EBE8034582E}">
  <dimension ref="A1:L46"/>
  <sheetViews>
    <sheetView showGridLines="0" tabSelected="1" workbookViewId="0">
      <selection activeCell="A23" sqref="A23"/>
    </sheetView>
  </sheetViews>
  <sheetFormatPr defaultRowHeight="14.5" x14ac:dyDescent="0.35"/>
  <cols>
    <col min="1" max="1" width="28.6328125" bestFit="1" customWidth="1"/>
    <col min="2" max="3" width="11.08984375" style="10" bestFit="1" customWidth="1"/>
    <col min="5" max="5" width="13.453125" bestFit="1" customWidth="1"/>
    <col min="6" max="6" width="15.6328125" bestFit="1" customWidth="1"/>
    <col min="8" max="8" width="52.90625" bestFit="1" customWidth="1"/>
  </cols>
  <sheetData>
    <row r="1" spans="1:1" x14ac:dyDescent="0.35">
      <c r="A1" s="14" t="s">
        <v>38</v>
      </c>
    </row>
    <row r="4" spans="1:1" x14ac:dyDescent="0.35">
      <c r="A4" s="14" t="s">
        <v>39</v>
      </c>
    </row>
    <row r="5" spans="1:1" x14ac:dyDescent="0.35">
      <c r="A5" s="10">
        <f>SUM(FinancialData[Revenue])</f>
        <v>2184388.4200000009</v>
      </c>
    </row>
    <row r="6" spans="1:1" x14ac:dyDescent="0.35">
      <c r="A6" s="13">
        <f>SUM(FinancialData[Cost of Goods Sold])</f>
        <v>1064900.4499999997</v>
      </c>
    </row>
    <row r="8" spans="1:1" x14ac:dyDescent="0.35">
      <c r="A8" s="13">
        <f>SUM(FinancialData[Operating Expenses])</f>
        <v>154515.65</v>
      </c>
    </row>
    <row r="10" spans="1:1" x14ac:dyDescent="0.35">
      <c r="A10" s="13">
        <f>SUM(FinancialData[Gross Profit])</f>
        <v>1119487.97</v>
      </c>
    </row>
    <row r="12" spans="1:1" x14ac:dyDescent="0.35">
      <c r="A12" s="13">
        <f>SUM(FinancialData[Net Profit])</f>
        <v>964972.32</v>
      </c>
    </row>
    <row r="14" spans="1:1" x14ac:dyDescent="0.35">
      <c r="A14" s="12">
        <f>SUM(FinancialData[Net Profit])/SUM(FinancialData[Revenue])</f>
        <v>0.44175857698421583</v>
      </c>
    </row>
    <row r="18" spans="1:12" x14ac:dyDescent="0.35">
      <c r="A18" s="14" t="s">
        <v>40</v>
      </c>
      <c r="B18" s="15" t="s">
        <v>41</v>
      </c>
      <c r="C18" s="15" t="s">
        <v>42</v>
      </c>
      <c r="E18" s="14" t="s">
        <v>2</v>
      </c>
      <c r="F18" s="14" t="s">
        <v>41</v>
      </c>
      <c r="H18" s="14" t="s">
        <v>57</v>
      </c>
    </row>
    <row r="19" spans="1:12" ht="15.5" x14ac:dyDescent="0.35">
      <c r="A19" t="s">
        <v>10</v>
      </c>
      <c r="B19" s="10">
        <f>SUMIFS(FinancialData[Revenue],FinancialData[Month],A19)</f>
        <v>124436.23000000001</v>
      </c>
      <c r="C19" s="10">
        <f>SUMIFS(FinancialData[Net Profit],FinancialData[Month],A19)</f>
        <v>51740.079999999994</v>
      </c>
      <c r="E19" t="s">
        <v>17</v>
      </c>
      <c r="F19" s="10">
        <f>SUMIFS(FinancialData[Revenue],FinancialData[Region],E19)</f>
        <v>395300.14999999997</v>
      </c>
      <c r="H19" s="16" t="s">
        <v>58</v>
      </c>
    </row>
    <row r="20" spans="1:12" ht="15.5" x14ac:dyDescent="0.35">
      <c r="A20" t="s">
        <v>18</v>
      </c>
      <c r="B20" s="10">
        <f>SUMIFS(FinancialData[Revenue],FinancialData[Month],A20)</f>
        <v>84497.08</v>
      </c>
      <c r="C20" s="10">
        <f>SUMIFS(FinancialData[Net Profit],FinancialData[Month],A20)</f>
        <v>31098.210000000006</v>
      </c>
      <c r="E20" t="s">
        <v>43</v>
      </c>
      <c r="F20" s="10">
        <v>472302.13</v>
      </c>
      <c r="H20" s="16" t="s">
        <v>59</v>
      </c>
    </row>
    <row r="21" spans="1:12" ht="15.5" x14ac:dyDescent="0.35">
      <c r="A21" t="s">
        <v>23</v>
      </c>
      <c r="B21" s="10">
        <f>SUMIFS(FinancialData[Revenue],FinancialData[Month],A21)</f>
        <v>148521.14000000001</v>
      </c>
      <c r="C21" s="10">
        <f>SUMIFS(FinancialData[Net Profit],FinancialData[Month],A21)</f>
        <v>66543.930000000008</v>
      </c>
      <c r="E21" t="s">
        <v>44</v>
      </c>
      <c r="F21" s="10">
        <v>409844.25</v>
      </c>
      <c r="H21" s="16" t="s">
        <v>60</v>
      </c>
    </row>
    <row r="22" spans="1:12" ht="15.5" x14ac:dyDescent="0.35">
      <c r="A22" t="s">
        <v>25</v>
      </c>
      <c r="B22" s="10">
        <f>SUMIFS(FinancialData[Revenue],FinancialData[Month],A22)</f>
        <v>109918.19</v>
      </c>
      <c r="C22" s="10">
        <f>SUMIFS(FinancialData[Net Profit],FinancialData[Month],A22)</f>
        <v>46225.86</v>
      </c>
      <c r="E22" t="s">
        <v>45</v>
      </c>
      <c r="F22" s="10">
        <v>347697.25</v>
      </c>
      <c r="H22" s="16" t="s">
        <v>61</v>
      </c>
    </row>
    <row r="23" spans="1:12" x14ac:dyDescent="0.35">
      <c r="A23" t="s">
        <v>28</v>
      </c>
      <c r="B23" s="10">
        <f>SUMIFS(FinancialData[Revenue],FinancialData[Month],A23)</f>
        <v>307996.41000000003</v>
      </c>
      <c r="C23" s="10">
        <f>SUMIFS(FinancialData[Net Profit],FinancialData[Month],A23)</f>
        <v>146593.65999999997</v>
      </c>
      <c r="E23" t="s">
        <v>46</v>
      </c>
      <c r="F23" s="10">
        <v>269832.76</v>
      </c>
    </row>
    <row r="24" spans="1:12" x14ac:dyDescent="0.35">
      <c r="A24" t="s">
        <v>29</v>
      </c>
      <c r="B24" s="10">
        <f>SUMIFS(FinancialData[Revenue],FinancialData[Month],A24)</f>
        <v>248996.57999999996</v>
      </c>
      <c r="C24" s="10">
        <f>SUMIFS(FinancialData[Net Profit],FinancialData[Month],A24)</f>
        <v>120961.7</v>
      </c>
      <c r="E24" t="s">
        <v>47</v>
      </c>
      <c r="F24" s="10">
        <v>289411.88</v>
      </c>
    </row>
    <row r="25" spans="1:12" x14ac:dyDescent="0.35">
      <c r="A25" t="s">
        <v>30</v>
      </c>
      <c r="B25" s="10">
        <f>SUMIFS(FinancialData[Revenue],FinancialData[Month],A25)</f>
        <v>130268.56000000001</v>
      </c>
      <c r="C25" s="10">
        <f>SUMIFS(FinancialData[Net Profit],FinancialData[Month],A25)</f>
        <v>51226.87</v>
      </c>
    </row>
    <row r="26" spans="1:12" x14ac:dyDescent="0.35">
      <c r="A26" t="s">
        <v>31</v>
      </c>
      <c r="B26" s="10">
        <f>SUMIFS(FinancialData[Revenue],FinancialData[Month],A26)</f>
        <v>188067.35</v>
      </c>
      <c r="C26" s="10">
        <f>SUMIFS(FinancialData[Net Profit],FinancialData[Month],A26)</f>
        <v>75474.13</v>
      </c>
    </row>
    <row r="27" spans="1:12" x14ac:dyDescent="0.35">
      <c r="A27" t="s">
        <v>32</v>
      </c>
      <c r="B27" s="10">
        <f>SUMIFS(FinancialData[Revenue],FinancialData[Month],A27)</f>
        <v>181732.99</v>
      </c>
      <c r="C27" s="10">
        <f>SUMIFS(FinancialData[Net Profit],FinancialData[Month],A27)</f>
        <v>67256.960000000021</v>
      </c>
      <c r="E27" t="s">
        <v>48</v>
      </c>
      <c r="F27" t="s">
        <v>9</v>
      </c>
      <c r="L27">
        <v>220980.9</v>
      </c>
    </row>
    <row r="28" spans="1:12" x14ac:dyDescent="0.35">
      <c r="A28" t="s">
        <v>33</v>
      </c>
      <c r="B28" s="10">
        <f>SUMIFS(FinancialData[Revenue],FinancialData[Month],A28)</f>
        <v>247264.36999999994</v>
      </c>
      <c r="C28" s="10">
        <f>SUMIFS(FinancialData[Net Profit],FinancialData[Month],A28)</f>
        <v>113383.8</v>
      </c>
      <c r="E28" t="s">
        <v>49</v>
      </c>
      <c r="F28" s="10">
        <v>220980.9</v>
      </c>
      <c r="L28">
        <v>136070.07999999999</v>
      </c>
    </row>
    <row r="29" spans="1:12" x14ac:dyDescent="0.35">
      <c r="A29" t="s">
        <v>34</v>
      </c>
      <c r="B29" s="10">
        <f>SUMIFS(FinancialData[Revenue],FinancialData[Month],A29)</f>
        <v>219570.26999999996</v>
      </c>
      <c r="C29" s="10">
        <f>SUMIFS(FinancialData[Net Profit],FinancialData[Month],A29)</f>
        <v>105989.81999999999</v>
      </c>
      <c r="E29" t="s">
        <v>50</v>
      </c>
      <c r="F29" s="10">
        <v>136070.07999999999</v>
      </c>
      <c r="L29">
        <v>138197.68</v>
      </c>
    </row>
    <row r="30" spans="1:12" x14ac:dyDescent="0.35">
      <c r="A30" t="s">
        <v>35</v>
      </c>
      <c r="B30" s="10">
        <f>SUMIFS(FinancialData[Revenue],FinancialData[Month],A30)</f>
        <v>193119.25</v>
      </c>
      <c r="C30" s="10">
        <f>SUMIFS(FinancialData[Net Profit],FinancialData[Month],A30)</f>
        <v>88477.299999999988</v>
      </c>
      <c r="E30" t="s">
        <v>51</v>
      </c>
      <c r="F30" s="10">
        <v>138197.68</v>
      </c>
      <c r="L30">
        <v>124303.09</v>
      </c>
    </row>
    <row r="31" spans="1:12" x14ac:dyDescent="0.35">
      <c r="E31" t="s">
        <v>52</v>
      </c>
      <c r="F31" s="10">
        <v>124303.09</v>
      </c>
      <c r="L31">
        <v>91708.160000000003</v>
      </c>
    </row>
    <row r="32" spans="1:12" x14ac:dyDescent="0.35">
      <c r="E32" t="s">
        <v>53</v>
      </c>
      <c r="F32" s="10">
        <v>91708.160000000003</v>
      </c>
      <c r="L32">
        <v>80573.100000000006</v>
      </c>
    </row>
    <row r="33" spans="5:12" x14ac:dyDescent="0.35">
      <c r="E33" t="s">
        <v>54</v>
      </c>
      <c r="F33" s="10">
        <v>80573.100000000006</v>
      </c>
      <c r="L33">
        <v>85109.02</v>
      </c>
    </row>
    <row r="34" spans="5:12" x14ac:dyDescent="0.35">
      <c r="E34" t="s">
        <v>55</v>
      </c>
      <c r="F34" s="10">
        <v>85109.02</v>
      </c>
      <c r="L34">
        <v>88030.29</v>
      </c>
    </row>
    <row r="35" spans="5:12" x14ac:dyDescent="0.35">
      <c r="E35" t="s">
        <v>56</v>
      </c>
      <c r="F35" s="10">
        <v>88030.29</v>
      </c>
    </row>
    <row r="38" spans="5:12" x14ac:dyDescent="0.35">
      <c r="E38" t="s">
        <v>48</v>
      </c>
      <c r="F38" t="s">
        <v>37</v>
      </c>
    </row>
    <row r="39" spans="5:12" x14ac:dyDescent="0.35">
      <c r="E39" t="s">
        <v>49</v>
      </c>
      <c r="F39" s="12">
        <v>0.47249999999999998</v>
      </c>
    </row>
    <row r="40" spans="5:12" x14ac:dyDescent="0.35">
      <c r="E40" t="s">
        <v>50</v>
      </c>
      <c r="F40" s="12">
        <v>0.42559999999999998</v>
      </c>
    </row>
    <row r="41" spans="5:12" x14ac:dyDescent="0.35">
      <c r="E41" t="s">
        <v>51</v>
      </c>
      <c r="F41" s="12">
        <v>0.45700000000000002</v>
      </c>
    </row>
    <row r="42" spans="5:12" x14ac:dyDescent="0.35">
      <c r="E42" t="s">
        <v>52</v>
      </c>
      <c r="F42" s="12">
        <v>0.47489999999999999</v>
      </c>
    </row>
    <row r="43" spans="5:12" x14ac:dyDescent="0.35">
      <c r="E43" t="s">
        <v>53</v>
      </c>
      <c r="F43" s="12">
        <v>0.38150000000000001</v>
      </c>
    </row>
    <row r="44" spans="5:12" x14ac:dyDescent="0.35">
      <c r="E44" t="s">
        <v>54</v>
      </c>
      <c r="F44" s="12">
        <v>0.38540000000000002</v>
      </c>
    </row>
    <row r="45" spans="5:12" x14ac:dyDescent="0.35">
      <c r="E45" t="s">
        <v>55</v>
      </c>
      <c r="F45" s="12">
        <v>0.441</v>
      </c>
    </row>
    <row r="46" spans="5:12" x14ac:dyDescent="0.35">
      <c r="E46" t="s">
        <v>56</v>
      </c>
      <c r="F46" s="12">
        <v>0.46200000000000002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viky kims</cp:lastModifiedBy>
  <cp:revision>0</cp:revision>
  <dcterms:created xsi:type="dcterms:W3CDTF">2026-09-10T15:56:37Z</dcterms:created>
  <dcterms:modified xsi:type="dcterms:W3CDTF">2026-09-16T06:40:49Z</dcterms:modified>
  <dc:language>en-US</dc:language>
</cp:coreProperties>
</file>